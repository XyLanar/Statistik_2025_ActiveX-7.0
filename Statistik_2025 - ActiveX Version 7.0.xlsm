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smartoptimo-my.sharepoint.com/personal/andre_haverkamp_smartoptimo_de/Documents/selbst programmierte Tools/Statistik 7.0/"/>
    </mc:Choice>
  </mc:AlternateContent>
  <xr:revisionPtr revIDLastSave="9268" documentId="13_ncr:1_{52BF1475-1A0A-421D-926A-0C3CA35FE698}" xr6:coauthVersionLast="47" xr6:coauthVersionMax="47" xr10:uidLastSave="{829B20E7-D6C5-457A-822E-10B462A94774}"/>
  <bookViews>
    <workbookView xWindow="28680" yWindow="-120" windowWidth="29040" windowHeight="15720" activeTab="1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18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<sst xmlns="http://schemas.openxmlformats.org/spreadsheetml/2006/main" count="516" uniqueCount="150">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</sst>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1856</c:v>
                </c:pt>
                <c:pt idx="16">
                  <c:v>8223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1004</c:v>
                </c:pt>
                <c:pt idx="16">
                  <c:v>8945</c:v>
                </c:pt>
                <c:pt idx="17">
                  <c:v>25278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4.0742556059306455E-2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4.0742556059306455E-2</c:v>
                </c:pt>
                <c:pt idx="16">
                  <c:v>7.9448158023207788E-2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1856</c:v>
                </c:pt>
                <c:pt idx="16">
                  <c:v>8223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1004</c:v>
                </c:pt>
                <c:pt idx="16">
                  <c:v>8945</c:v>
                </c:pt>
                <c:pt idx="17">
                  <c:v>25278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P07C!$C$2:$C$6</c:f>
              <c:numCache>
                <c:formatCode>0.00%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9525</xdr:rowOff>
        </xdr:from>
        <xdr:to>
          <xdr:col>15</xdr:col>
          <xdr:colOff>276225</xdr:colOff>
          <xdr:row>3</xdr:row>
          <xdr:rowOff>171450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9525</xdr:rowOff>
        </xdr:from>
        <xdr:to>
          <xdr:col>18</xdr:col>
          <xdr:colOff>238125</xdr:colOff>
          <xdr:row>3</xdr:row>
          <xdr:rowOff>161925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9525</xdr:rowOff>
        </xdr:from>
        <xdr:to>
          <xdr:col>20</xdr:col>
          <xdr:colOff>304800</xdr:colOff>
          <xdr:row>3</xdr:row>
          <xdr:rowOff>152400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6</xdr:col>
          <xdr:colOff>19050</xdr:colOff>
          <xdr:row>3</xdr:row>
          <xdr:rowOff>161925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6" totalsRowShown="0" headerRowDxfId="59">
  <autoFilter ref="A1:D6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7" totalsRowShown="0" headerRowDxfId="55">
  <autoFilter ref="A1:D7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zoomScaleNormal="100" workbookViewId="0">
      <selection activeCell="O1" sqref="O1:U4"/>
    </sheetView>
  </sheetViews>
  <sheetFormatPr baseColWidth="10" defaultRowHeight="14.25" x14ac:dyDescent="0.2"/>
  <sheetData>
    <row r="1" spans="1:21" x14ac:dyDescent="0.2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2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2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2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Geschätzte_Laufwerke">
          <controlPr defaultSize="0" autoLine="0" r:id="rId5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6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8" r:id="rId4" name="Geschätzte_Laufwerke"/>
      </mc:Fallback>
    </mc:AlternateContent>
    <mc:AlternateContent xmlns:mc="http://schemas.openxmlformats.org/markup-compatibility/2006">
      <mc:Choice Requires="x14">
        <control shapeId="1027" r:id="rId6" name="Löschen">
          <controlPr defaultSize="0" autoLine="0" r:id="rId7">
            <anchor moveWithCells="1">
              <from>
                <xdr:col>18</xdr:col>
                <xdr:colOff>257175</xdr:colOff>
                <xdr:row>0</xdr:row>
                <xdr:rowOff>9525</xdr:rowOff>
              </from>
              <to>
                <xdr:col>20</xdr:col>
                <xdr:colOff>304800</xdr:colOff>
                <xdr:row>3</xdr:row>
                <xdr:rowOff>152400</xdr:rowOff>
              </to>
            </anchor>
          </controlPr>
        </control>
      </mc:Choice>
      <mc:Fallback>
        <control shapeId="1027" r:id="rId6" name="Löschen"/>
      </mc:Fallback>
    </mc:AlternateContent>
    <mc:AlternateContent xmlns:mc="http://schemas.openxmlformats.org/markup-compatibility/2006">
      <mc:Choice Requires="x14">
        <control shapeId="1026" r:id="rId8" name="Speichern">
          <controlPr defaultSize="0" autoLine="0" r:id="rId9">
            <anchor moveWithCells="1">
              <from>
                <xdr:col>15</xdr:col>
                <xdr:colOff>304800</xdr:colOff>
                <xdr:row>0</xdr:row>
                <xdr:rowOff>9525</xdr:rowOff>
              </from>
              <to>
                <xdr:col>18</xdr:col>
                <xdr:colOff>238125</xdr:colOff>
                <xdr:row>3</xdr:row>
                <xdr:rowOff>161925</xdr:rowOff>
              </to>
            </anchor>
          </controlPr>
        </control>
      </mc:Choice>
      <mc:Fallback>
        <control shapeId="1026" r:id="rId8" name="Speichern"/>
      </mc:Fallback>
    </mc:AlternateContent>
    <mc:AlternateContent xmlns:mc="http://schemas.openxmlformats.org/markup-compatibility/2006">
      <mc:Choice Requires="x14">
        <control shapeId="1025" r:id="rId10" name="Aktualisieren">
          <controlPr defaultSize="0" autoLine="0" r:id="rId11">
            <anchor moveWithCells="1">
              <from>
                <xdr:col>12</xdr:col>
                <xdr:colOff>285750</xdr:colOff>
                <xdr:row>0</xdr:row>
                <xdr:rowOff>9525</xdr:rowOff>
              </from>
              <to>
                <xdr:col>15</xdr:col>
                <xdr:colOff>276225</xdr:colOff>
                <xdr:row>3</xdr:row>
                <xdr:rowOff>171450</xdr:rowOff>
              </to>
            </anchor>
          </controlPr>
        </control>
      </mc:Choice>
      <mc:Fallback>
        <control shapeId="1025" r:id="rId10" name="Aktualisier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tabSelected="1" workbookViewId="0">
      <pane ySplit="1" topLeftCell="A2" activePane="bottomLeft" state="frozen"/>
      <selection pane="bottomLeft" activeCell="G23" sqref="G23"/>
    </sheetView>
  </sheetViews>
  <sheetFormatPr baseColWidth="10" defaultRowHeight="14.25" x14ac:dyDescent="0.2"/>
  <cols>
    <col min="2" max="2" width="29.75" bestFit="1" customWidth="1"/>
    <col min="3" max="4" width="14.875" bestFit="1" customWidth="1"/>
    <col min="5" max="5" width="14.875" customWidth="1"/>
    <col min="6" max="6" width="14.375" bestFit="1" customWidth="1"/>
    <col min="7" max="7" width="17" bestFit="1" customWidth="1"/>
    <col min="8" max="9" width="14.875" bestFit="1" customWidth="1"/>
    <col min="10" max="10" width="15.5" customWidth="1"/>
    <col min="11" max="11" width="14.875" bestFit="1" customWidth="1"/>
    <col min="12" max="12" width="28.6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8" thickBot="1" x14ac:dyDescent="0.2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140</v>
      </c>
    </row>
    <row r="2" spans="1:18" ht="15" x14ac:dyDescent="0.2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5" x14ac:dyDescent="0.2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5" x14ac:dyDescent="0.2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5" x14ac:dyDescent="0.2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5" x14ac:dyDescent="0.2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5" x14ac:dyDescent="0.2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5" x14ac:dyDescent="0.2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9.25" x14ac:dyDescent="0.2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149</v>
      </c>
    </row>
    <row r="10" spans="1:18" ht="15" x14ac:dyDescent="0.2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5" x14ac:dyDescent="0.2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5" x14ac:dyDescent="0.2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5" x14ac:dyDescent="0.2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5" x14ac:dyDescent="0.2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5" x14ac:dyDescent="0.2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.75" thickBot="1" x14ac:dyDescent="0.3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7" x14ac:dyDescent="0.2">
      <c r="C17" s="28"/>
      <c r="K17" s="28"/>
      <c r="N17" s="36"/>
    </row>
    <row r="18" spans="1:17" ht="15" x14ac:dyDescent="0.25">
      <c r="A18" s="1" t="s">
        <v>46</v>
      </c>
      <c r="B18" s="1" t="s">
        <v>47</v>
      </c>
      <c r="C18" s="5">
        <v>2860</v>
      </c>
      <c r="D18" s="5">
        <v>2815</v>
      </c>
      <c r="E18" s="33">
        <v>45874</v>
      </c>
      <c r="F18" s="13">
        <v>1853</v>
      </c>
      <c r="G18" s="4">
        <v>0.65825932504440499</v>
      </c>
      <c r="H18" s="5">
        <v>45</v>
      </c>
      <c r="I18" s="13">
        <v>3</v>
      </c>
      <c r="J18" s="4">
        <v>6.6666666666666666E-2</v>
      </c>
      <c r="K18" s="5">
        <v>1004</v>
      </c>
      <c r="L18" s="33"/>
      <c r="M18" s="33"/>
      <c r="N18" s="25">
        <v>0.35104895104895106</v>
      </c>
      <c r="O18" s="6">
        <v>0.02</v>
      </c>
      <c r="P18" s="81">
        <v>4.0742556059306455E-2</v>
      </c>
      <c r="Q18" s="77">
        <f>Tabelle1[[#This Row],[Datum
finale
Schätzung]]-Tabelle1[[#This Row],[Datum geplante Schätzung]]</f>
        <v>0</v>
      </c>
    </row>
    <row r="19" spans="1:17" ht="15" x14ac:dyDescent="0.25">
      <c r="A19" s="7" t="s">
        <v>48</v>
      </c>
      <c r="B19" s="7" t="s">
        <v>49</v>
      </c>
      <c r="C19" s="11">
        <v>17168</v>
      </c>
      <c r="D19" s="20">
        <v>9958</v>
      </c>
      <c r="E19" s="34">
        <v>45874</v>
      </c>
      <c r="F19" s="82">
        <v>3649</v>
      </c>
      <c r="G19" s="10">
        <v>0.36643904398473587</v>
      </c>
      <c r="H19" s="11">
        <v>7210</v>
      </c>
      <c r="I19" s="82">
        <v>4574</v>
      </c>
      <c r="J19" s="26">
        <v>0.6343966712898752</v>
      </c>
      <c r="K19" s="11">
        <v>8945</v>
      </c>
      <c r="L19" s="34"/>
      <c r="M19" s="34"/>
      <c r="N19" s="23">
        <v>0.52102749301025164</v>
      </c>
      <c r="O19" s="12">
        <v>0.02</v>
      </c>
      <c r="P19" s="80">
        <v>7.9448158023207788E-2</v>
      </c>
      <c r="Q19" s="53">
        <f>Tabelle1[[#This Row],[Datum
finale
Schätzung]]-Tabelle1[[#This Row],[Datum geplante Schätzung]]</f>
        <v>0</v>
      </c>
    </row>
    <row r="20" spans="1:17" ht="15" x14ac:dyDescent="0.25">
      <c r="A20" s="1" t="s">
        <v>50</v>
      </c>
      <c r="B20" s="1" t="s">
        <v>51</v>
      </c>
      <c r="C20" s="5">
        <v>25278</v>
      </c>
      <c r="D20" s="19">
        <v>11385</v>
      </c>
      <c r="E20" s="33"/>
      <c r="F20" s="13"/>
      <c r="G20" s="4"/>
      <c r="H20" s="5"/>
      <c r="I20" s="13"/>
      <c r="J20" s="4"/>
      <c r="K20" s="5"/>
      <c r="L20" s="33"/>
      <c r="M20" s="33"/>
      <c r="N20" s="25">
        <v>0</v>
      </c>
      <c r="O20" s="6">
        <v>0.02</v>
      </c>
      <c r="P20" s="81"/>
      <c r="Q20" s="77">
        <f>Tabelle1[[#This Row],[Datum
finale
Schätzung]]-Tabelle1[[#This Row],[Datum geplante Schätzung]]</f>
        <v>0</v>
      </c>
    </row>
    <row r="21" spans="1:17" ht="15" x14ac:dyDescent="0.25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7" ht="15" x14ac:dyDescent="0.25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7" ht="15" x14ac:dyDescent="0.25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7" ht="15" x14ac:dyDescent="0.25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7" ht="15" x14ac:dyDescent="0.25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7" ht="15" x14ac:dyDescent="0.25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7" ht="15" x14ac:dyDescent="0.25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7" ht="15" x14ac:dyDescent="0.25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7" ht="15" x14ac:dyDescent="0.25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7" ht="15" x14ac:dyDescent="0.25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7" ht="15" x14ac:dyDescent="0.25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7" ht="15" x14ac:dyDescent="0.25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.25" x14ac:dyDescent="0.2"/>
  <cols>
    <col min="2" max="2" width="14" bestFit="1" customWidth="1"/>
    <col min="3" max="3" width="12.625" bestFit="1" customWidth="1"/>
    <col min="4" max="4" width="14.25" bestFit="1" customWidth="1"/>
  </cols>
  <sheetData>
    <row r="1" spans="1:4" ht="29.25" thickBot="1" x14ac:dyDescent="0.2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2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2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2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2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2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2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2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2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2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2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2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2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2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2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5" thickBot="1" x14ac:dyDescent="0.2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2">
      <c r="A17" s="39"/>
      <c r="B17" s="55"/>
      <c r="C17" s="56"/>
      <c r="D17" s="36"/>
    </row>
    <row r="18" spans="1:4" x14ac:dyDescent="0.2">
      <c r="A18" s="1" t="s">
        <v>46</v>
      </c>
      <c r="B18" s="55">
        <f>SUM(Gesamtübersicht!$C$2:C18)</f>
        <v>195864</v>
      </c>
      <c r="C18" s="56">
        <f>SUM(Gesamtübersicht!$K$2:K18)</f>
        <v>7980</v>
      </c>
      <c r="D18" s="36">
        <f t="shared" ref="D18:D32" si="1">IFERROR(C18/B18, "")</f>
        <v>4.0742556059306455E-2</v>
      </c>
    </row>
    <row r="19" spans="1:4" x14ac:dyDescent="0.2">
      <c r="A19" s="7" t="s">
        <v>48</v>
      </c>
      <c r="B19" s="55">
        <f>SUM(Gesamtübersicht!$C$2:C19)</f>
        <v>213032</v>
      </c>
      <c r="C19" s="56">
        <f>SUM(Gesamtübersicht!$K$2:K19)</f>
        <v>16925</v>
      </c>
      <c r="D19" s="36">
        <f t="shared" si="1"/>
        <v>7.9448158023207788E-2</v>
      </c>
    </row>
    <row r="20" spans="1:4" x14ac:dyDescent="0.2">
      <c r="A20" s="1" t="s">
        <v>50</v>
      </c>
      <c r="B20" s="55">
        <f>SUM(Gesamtübersicht!$C$2:C20)</f>
        <v>238310</v>
      </c>
      <c r="C20" s="56">
        <f>SUM(Gesamtübersicht!$K$2:K20)</f>
        <v>16925</v>
      </c>
      <c r="D20" s="36">
        <f t="shared" si="1"/>
        <v>7.1020939112920151E-2</v>
      </c>
    </row>
    <row r="21" spans="1:4" x14ac:dyDescent="0.2">
      <c r="A21" s="7" t="s">
        <v>52</v>
      </c>
      <c r="B21" s="55">
        <f>SUM(Gesamtübersicht!$C$2:C21)</f>
        <v>238310</v>
      </c>
      <c r="C21" s="56">
        <f>SUM(Gesamtübersicht!$K$2:K21)</f>
        <v>16925</v>
      </c>
      <c r="D21" s="36">
        <f t="shared" si="1"/>
        <v>7.1020939112920151E-2</v>
      </c>
    </row>
    <row r="22" spans="1:4" x14ac:dyDescent="0.2">
      <c r="A22" s="1" t="s">
        <v>54</v>
      </c>
      <c r="B22" s="55">
        <f>SUM(Gesamtübersicht!$C$2:C22)</f>
        <v>238310</v>
      </c>
      <c r="C22" s="56">
        <f>SUM(Gesamtübersicht!$K$2:K22)</f>
        <v>16925</v>
      </c>
      <c r="D22" s="36">
        <f t="shared" si="1"/>
        <v>7.1020939112920151E-2</v>
      </c>
    </row>
    <row r="23" spans="1:4" x14ac:dyDescent="0.2">
      <c r="A23" s="7" t="s">
        <v>56</v>
      </c>
      <c r="B23" s="55">
        <f>SUM(Gesamtübersicht!$C$2:C23)</f>
        <v>238310</v>
      </c>
      <c r="C23" s="56">
        <f>SUM(Gesamtübersicht!$K$2:K23)</f>
        <v>16925</v>
      </c>
      <c r="D23" s="36">
        <f t="shared" si="1"/>
        <v>7.1020939112920151E-2</v>
      </c>
    </row>
    <row r="24" spans="1:4" x14ac:dyDescent="0.2">
      <c r="A24" s="1" t="s">
        <v>58</v>
      </c>
      <c r="B24" s="55">
        <f>SUM(Gesamtübersicht!$C$2:C24)</f>
        <v>238310</v>
      </c>
      <c r="C24" s="56">
        <f>SUM(Gesamtübersicht!$K$2:K24)</f>
        <v>16925</v>
      </c>
      <c r="D24" s="36">
        <f t="shared" si="1"/>
        <v>7.1020939112920151E-2</v>
      </c>
    </row>
    <row r="25" spans="1:4" x14ac:dyDescent="0.2">
      <c r="A25" s="7" t="s">
        <v>60</v>
      </c>
      <c r="B25" s="55">
        <f>SUM(Gesamtübersicht!$C$2:C25)</f>
        <v>238310</v>
      </c>
      <c r="C25" s="56">
        <f>SUM(Gesamtübersicht!$K$2:K25)</f>
        <v>16925</v>
      </c>
      <c r="D25" s="36">
        <f t="shared" si="1"/>
        <v>7.1020939112920151E-2</v>
      </c>
    </row>
    <row r="26" spans="1:4" x14ac:dyDescent="0.2">
      <c r="A26" s="1" t="s">
        <v>62</v>
      </c>
      <c r="B26" s="55">
        <f>SUM(Gesamtübersicht!$C$2:C26)</f>
        <v>238310</v>
      </c>
      <c r="C26" s="56">
        <f>SUM(Gesamtübersicht!$K$2:K26)</f>
        <v>16925</v>
      </c>
      <c r="D26" s="36">
        <f t="shared" si="1"/>
        <v>7.1020939112920151E-2</v>
      </c>
    </row>
    <row r="27" spans="1:4" x14ac:dyDescent="0.2">
      <c r="A27" s="7" t="s">
        <v>64</v>
      </c>
      <c r="B27" s="55">
        <f>SUM(Gesamtübersicht!$C$2:C27)</f>
        <v>238310</v>
      </c>
      <c r="C27" s="56">
        <f>SUM(Gesamtübersicht!$K$2:K27)</f>
        <v>16925</v>
      </c>
      <c r="D27" s="36">
        <f t="shared" si="1"/>
        <v>7.1020939112920151E-2</v>
      </c>
    </row>
    <row r="28" spans="1:4" x14ac:dyDescent="0.2">
      <c r="A28" s="1" t="s">
        <v>66</v>
      </c>
      <c r="B28" s="55">
        <f>SUM(Gesamtübersicht!$C$2:C28)</f>
        <v>238310</v>
      </c>
      <c r="C28" s="56">
        <f>SUM(Gesamtübersicht!$K$2:K28)</f>
        <v>16925</v>
      </c>
      <c r="D28" s="36">
        <f t="shared" si="1"/>
        <v>7.1020939112920151E-2</v>
      </c>
    </row>
    <row r="29" spans="1:4" x14ac:dyDescent="0.2">
      <c r="A29" s="7" t="s">
        <v>70</v>
      </c>
      <c r="B29" s="55">
        <f>SUM(Gesamtübersicht!$C$2:C29)</f>
        <v>238310</v>
      </c>
      <c r="C29" s="56">
        <f>SUM(Gesamtübersicht!$K$2:K29)</f>
        <v>16925</v>
      </c>
      <c r="D29" s="36">
        <f t="shared" si="1"/>
        <v>7.1020939112920151E-2</v>
      </c>
    </row>
    <row r="30" spans="1:4" x14ac:dyDescent="0.2">
      <c r="A30" s="1" t="s">
        <v>68</v>
      </c>
      <c r="B30" s="55">
        <f>SUM(Gesamtübersicht!$C$2:C30)</f>
        <v>238310</v>
      </c>
      <c r="C30" s="56">
        <f>SUM(Gesamtübersicht!$K$2:K30)</f>
        <v>16925</v>
      </c>
      <c r="D30" s="36">
        <f t="shared" si="1"/>
        <v>7.1020939112920151E-2</v>
      </c>
    </row>
    <row r="31" spans="1:4" x14ac:dyDescent="0.2">
      <c r="A31" s="7" t="s">
        <v>72</v>
      </c>
      <c r="B31" s="55">
        <f>SUM(Gesamtübersicht!$C$2:C31)</f>
        <v>238310</v>
      </c>
      <c r="C31" s="56">
        <f>SUM(Gesamtübersicht!$K$2:K31)</f>
        <v>16925</v>
      </c>
      <c r="D31" s="36">
        <f t="shared" si="1"/>
        <v>7.1020939112920151E-2</v>
      </c>
    </row>
    <row r="32" spans="1:4" ht="15" thickBot="1" x14ac:dyDescent="0.25">
      <c r="A32" s="14" t="s">
        <v>74</v>
      </c>
      <c r="B32" s="55">
        <f>SUM(Gesamtübersicht!$C$2:C32)</f>
        <v>238310</v>
      </c>
      <c r="C32" s="56">
        <f>SUM(Gesamtübersicht!$K$2:K32)</f>
        <v>16925</v>
      </c>
      <c r="D32" s="36">
        <f t="shared" si="1"/>
        <v>7.1020939112920151E-2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.25" x14ac:dyDescent="0.2"/>
  <cols>
    <col min="1" max="1" width="12.125" bestFit="1" customWidth="1"/>
    <col min="2" max="2" width="15.75" bestFit="1" customWidth="1"/>
    <col min="3" max="3" width="12.375" bestFit="1" customWidth="1"/>
    <col min="4" max="4" width="8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x14ac:dyDescent="0.2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x14ac:dyDescent="0.2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x14ac:dyDescent="0.2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x14ac:dyDescent="0.2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x14ac:dyDescent="0.2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x14ac:dyDescent="0.2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x14ac:dyDescent="0.2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x14ac:dyDescent="0.2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2">
      <c r="A17" s="39"/>
      <c r="B17" s="44"/>
      <c r="C17" s="40"/>
      <c r="D17" s="40"/>
    </row>
    <row r="18" spans="1:4" x14ac:dyDescent="0.2">
      <c r="A18" s="1" t="s">
        <v>46</v>
      </c>
      <c r="B18" s="5">
        <f>IF(Gesamtübersicht!C18&lt;&gt;"", Gesamtübersicht!C18, "")</f>
        <v>2860</v>
      </c>
      <c r="C18" s="25">
        <f>IF(Gesamtübersicht!N18&lt;&gt;"", Gesamtübersicht!N18, "")</f>
        <v>0.35104895104895106</v>
      </c>
      <c r="D18" s="6">
        <v>0.02</v>
      </c>
    </row>
    <row r="19" spans="1:4" x14ac:dyDescent="0.2">
      <c r="A19" s="7" t="s">
        <v>48</v>
      </c>
      <c r="B19" s="8">
        <f>IF(Gesamtübersicht!C19&lt;&gt;"", Gesamtübersicht!C19, "")</f>
        <v>17168</v>
      </c>
      <c r="C19" s="23">
        <f>IF(Gesamtübersicht!N19&lt;&gt;"", Gesamtübersicht!N19, "")</f>
        <v>0.52102749301025164</v>
      </c>
      <c r="D19" s="12">
        <v>0.02</v>
      </c>
    </row>
    <row r="20" spans="1:4" x14ac:dyDescent="0.2">
      <c r="A20" s="1" t="s">
        <v>50</v>
      </c>
      <c r="B20" s="5">
        <f>IF(Gesamtübersicht!C20&lt;&gt;"", Gesamtübersicht!C20, "")</f>
        <v>25278</v>
      </c>
      <c r="C20" s="25">
        <f>IF(Gesamtübersicht!N20&lt;&gt;"", Gesamtübersicht!N20, "")</f>
        <v>0</v>
      </c>
      <c r="D20" s="6">
        <v>0.02</v>
      </c>
    </row>
    <row r="21" spans="1:4" x14ac:dyDescent="0.2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x14ac:dyDescent="0.2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x14ac:dyDescent="0.2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x14ac:dyDescent="0.2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x14ac:dyDescent="0.2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x14ac:dyDescent="0.2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25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.25" x14ac:dyDescent="0.2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2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2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2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2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2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2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2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x14ac:dyDescent="0.2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2">
      <c r="A17" s="39"/>
      <c r="B17" s="44"/>
      <c r="C17" s="69"/>
      <c r="D17" s="40"/>
    </row>
    <row r="18" spans="1:4" x14ac:dyDescent="0.2">
      <c r="A18" s="1" t="s">
        <v>46</v>
      </c>
      <c r="B18" s="5">
        <f>IF(Gesamtübersicht!C18&lt;&gt;"", Gesamtübersicht!C18, "")</f>
        <v>2860</v>
      </c>
      <c r="C18" s="25">
        <v>0</v>
      </c>
      <c r="D18" s="6">
        <v>0.02</v>
      </c>
    </row>
    <row r="19" spans="1:4" x14ac:dyDescent="0.2">
      <c r="A19" s="7" t="s">
        <v>48</v>
      </c>
      <c r="B19" s="11">
        <f>IF(Gesamtübersicht!C19&lt;&gt;"", Gesamtübersicht!C19, "")</f>
        <v>17168</v>
      </c>
      <c r="C19" s="23"/>
      <c r="D19" s="12">
        <v>0.02</v>
      </c>
    </row>
    <row r="20" spans="1:4" x14ac:dyDescent="0.2">
      <c r="A20" s="1" t="s">
        <v>50</v>
      </c>
      <c r="B20" s="5">
        <f>IF(Gesamtübersicht!C20&lt;&gt;"", Gesamtübersicht!C20, "")</f>
        <v>25278</v>
      </c>
      <c r="C20" s="25"/>
      <c r="D20" s="6">
        <v>0.02</v>
      </c>
    </row>
    <row r="21" spans="1:4" x14ac:dyDescent="0.2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2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2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2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2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2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5" thickBot="1" x14ac:dyDescent="0.2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.25" x14ac:dyDescent="0.2"/>
  <cols>
    <col min="2" max="2" width="12.875" bestFit="1" customWidth="1"/>
    <col min="3" max="3" width="12.875" customWidth="1"/>
    <col min="5" max="5" width="13.875" customWidth="1"/>
  </cols>
  <sheetData>
    <row r="1" spans="1:5" ht="30" x14ac:dyDescent="0.25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2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2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2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2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2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2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2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2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2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2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2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2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2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2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2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2">
      <c r="A17" s="63" t="str">
        <f>Gesamtübersicht!A18</f>
        <v>p07c</v>
      </c>
      <c r="B17" s="67">
        <f>IF(Gesamtübersicht!C18&lt;&gt;"", Gesamtübersicht!C18, "")</f>
        <v>2860</v>
      </c>
      <c r="C17" s="67">
        <f>IF(Gesamtübersicht!C18&lt;&gt;"", Gesamtübersicht!F18+Gesamtübersicht!I18, "")</f>
        <v>1856</v>
      </c>
      <c r="D17" s="67">
        <f>IF(Gesamtübersicht!C18&lt;&gt;"", Gesamtübersicht!C18-Gesamtübersicht!F18-Gesamtübersicht!I18, "")</f>
        <v>1004</v>
      </c>
      <c r="E17" s="68">
        <f>IF(Gesamtübersicht!N18&lt;&gt;"", Gesamtübersicht!N18, "")</f>
        <v>0.35104895104895106</v>
      </c>
    </row>
    <row r="18" spans="1:5" x14ac:dyDescent="0.2">
      <c r="A18" s="62" t="str">
        <f>Gesamtübersicht!A19</f>
        <v>p08a</v>
      </c>
      <c r="B18" s="65">
        <f>IF(Gesamtübersicht!C19&lt;&gt;"", Gesamtübersicht!C19, "")</f>
        <v>17168</v>
      </c>
      <c r="C18" s="65">
        <f>IF(Gesamtübersicht!C19&lt;&gt;"", Gesamtübersicht!F19+Gesamtübersicht!I19, "")</f>
        <v>8223</v>
      </c>
      <c r="D18" s="65">
        <f>IF(Gesamtübersicht!C19&lt;&gt;"", Gesamtübersicht!C19-Gesamtübersicht!F19-Gesamtübersicht!I19, "")</f>
        <v>8945</v>
      </c>
      <c r="E18" s="66">
        <f>IF(Gesamtübersicht!N19&lt;&gt;"", Gesamtübersicht!N19, "")</f>
        <v>0.52102749301025164</v>
      </c>
    </row>
    <row r="19" spans="1:5" x14ac:dyDescent="0.2">
      <c r="A19" s="63" t="str">
        <f>Gesamtübersicht!A20</f>
        <v>p08b</v>
      </c>
      <c r="B19" s="67">
        <f>IF(Gesamtübersicht!C20&lt;&gt;"", Gesamtübersicht!C20, "")</f>
        <v>25278</v>
      </c>
      <c r="C19" s="67">
        <f>IF(Gesamtübersicht!C20&lt;&gt;"", Gesamtübersicht!F20+Gesamtübersicht!I20, "")</f>
        <v>0</v>
      </c>
      <c r="D19" s="67">
        <f>IF(Gesamtübersicht!C20&lt;&gt;"", Gesamtübersicht!C20-Gesamtübersicht!F20-Gesamtübersicht!I20, "")</f>
        <v>25278</v>
      </c>
      <c r="E19" s="68">
        <f>IF(Gesamtübersicht!N20&lt;&gt;"", Gesamtübersicht!N20, "")</f>
        <v>0</v>
      </c>
    </row>
    <row r="20" spans="1:5" x14ac:dyDescent="0.2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2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2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2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2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2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2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2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2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2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2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2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workbookViewId="0">
      <selection activeCell="J18" sqref="J18"/>
    </sheetView>
  </sheetViews>
  <sheetFormatPr baseColWidth="10" defaultRowHeight="14.25" x14ac:dyDescent="0.2"/>
  <cols>
    <col min="1" max="1" width="13.5" bestFit="1" customWidth="1"/>
    <col min="2" max="3" width="20.625" bestFit="1" customWidth="1"/>
    <col min="4" max="4" width="13.125" bestFit="1" customWidth="1"/>
    <col min="5" max="6" width="18.375" bestFit="1" customWidth="1"/>
    <col min="7" max="8" width="18" bestFit="1" customWidth="1"/>
    <col min="9" max="9" width="13.75" bestFit="1" customWidth="1"/>
  </cols>
  <sheetData>
    <row r="1" spans="1:9" x14ac:dyDescent="0.2">
      <c r="A1" s="86" t="s">
        <v>148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53" t="s">
        <v>44</v>
      </c>
      <c r="B3" s="53" t="s">
        <v>137</v>
      </c>
      <c r="C3" s="53" t="s">
        <v>145</v>
      </c>
      <c r="D3" s="53" t="s">
        <v>80</v>
      </c>
      <c r="E3" s="53" t="s">
        <v>138</v>
      </c>
      <c r="F3" s="53" t="s">
        <v>143</v>
      </c>
      <c r="G3" s="53" t="s">
        <v>139</v>
      </c>
      <c r="H3" s="53" t="s">
        <v>144</v>
      </c>
      <c r="I3" s="53" t="s">
        <v>135</v>
      </c>
    </row>
    <row r="4" spans="1:9" x14ac:dyDescent="0.2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2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2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2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2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2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2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2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2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2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2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2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2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2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2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2">
      <c r="A19" s="53" t="s">
        <v>136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2">
      <c r="A21" s="53" t="s">
        <v>44</v>
      </c>
      <c r="B21" s="53" t="s">
        <v>137</v>
      </c>
      <c r="C21" s="53" t="s">
        <v>145</v>
      </c>
      <c r="D21" s="53" t="s">
        <v>80</v>
      </c>
      <c r="E21" s="53" t="s">
        <v>138</v>
      </c>
      <c r="F21" s="53" t="s">
        <v>143</v>
      </c>
      <c r="G21" s="53" t="s">
        <v>139</v>
      </c>
      <c r="H21" s="53" t="s">
        <v>144</v>
      </c>
      <c r="I21" s="53" t="s">
        <v>135</v>
      </c>
    </row>
    <row r="22" spans="1:9" x14ac:dyDescent="0.2">
      <c r="A22" s="73" t="s">
        <v>46</v>
      </c>
      <c r="B22" s="70"/>
      <c r="C22" s="70">
        <f>Gesamtübersicht!N18</f>
        <v>0.35104895104895106</v>
      </c>
      <c r="D22" s="70">
        <f>Tabelle104[[#This Row],[Schätzquote 2025]]-Tabelle104[[#This Row],[Schätzquote 2024]]</f>
        <v>0.35104895104895106</v>
      </c>
      <c r="E22" s="71"/>
      <c r="F22" s="71">
        <f>Gesamtübersicht!C18</f>
        <v>2860</v>
      </c>
      <c r="G22" s="71"/>
      <c r="H22" s="71">
        <f>Gesamtübersicht!K18</f>
        <v>1004</v>
      </c>
      <c r="I22" s="71">
        <f>Tabelle104[[#This Row],[geschätzt 2025]]-Tabelle104[[#This Row],[geschätzt 2024]]</f>
        <v>1004</v>
      </c>
    </row>
    <row r="23" spans="1:9" x14ac:dyDescent="0.2">
      <c r="A23" s="73" t="s">
        <v>48</v>
      </c>
      <c r="B23" s="70"/>
      <c r="C23" s="70">
        <f>Gesamtübersicht!N19</f>
        <v>0.52102749301025164</v>
      </c>
      <c r="D23" s="70">
        <f>Tabelle104[[#This Row],[Schätzquote 2025]]-Tabelle104[[#This Row],[Schätzquote 2024]]</f>
        <v>0.52102749301025164</v>
      </c>
      <c r="E23" s="71"/>
      <c r="F23" s="71">
        <f>Gesamtübersicht!C19</f>
        <v>17168</v>
      </c>
      <c r="G23" s="71"/>
      <c r="H23" s="71">
        <f>Gesamtübersicht!K19</f>
        <v>8945</v>
      </c>
      <c r="I23" s="71">
        <f>Tabelle104[[#This Row],[geschätzt 2025]]-Tabelle104[[#This Row],[geschätzt 2024]]</f>
        <v>8945</v>
      </c>
    </row>
    <row r="24" spans="1:9" x14ac:dyDescent="0.2">
      <c r="A24" s="73" t="s">
        <v>50</v>
      </c>
      <c r="B24" s="70"/>
      <c r="C24" s="70">
        <f>Gesamtübersicht!N20</f>
        <v>0</v>
      </c>
      <c r="D24" s="70">
        <f>Tabelle104[[#This Row],[Schätzquote 2025]]-Tabelle104[[#This Row],[Schätzquote 2024]]</f>
        <v>0</v>
      </c>
      <c r="E24" s="71"/>
      <c r="F24" s="71">
        <f>Gesamtübersicht!C20</f>
        <v>25278</v>
      </c>
      <c r="G24" s="71"/>
      <c r="H24" s="71">
        <f>Gesamtübersicht!K20</f>
        <v>0</v>
      </c>
      <c r="I24" s="71">
        <f>Tabelle104[[#This Row],[geschätzt 2025]]-Tabelle104[[#This Row],[geschätzt 2024]]</f>
        <v>0</v>
      </c>
    </row>
    <row r="25" spans="1:9" x14ac:dyDescent="0.2">
      <c r="A25" s="73" t="s">
        <v>52</v>
      </c>
      <c r="B25" s="70"/>
      <c r="C25" s="70">
        <f>Gesamtübersicht!N21</f>
        <v>0</v>
      </c>
      <c r="D25" s="70">
        <f>Tabelle104[[#This Row],[Schätzquote 2025]]-Tabelle104[[#This Row],[Schätzquote 2024]]</f>
        <v>0</v>
      </c>
      <c r="E25" s="71"/>
      <c r="F25" s="71">
        <f>Gesamtübersicht!C21</f>
        <v>0</v>
      </c>
      <c r="G25" s="71"/>
      <c r="H25" s="71">
        <f>Gesamtübersicht!K21</f>
        <v>0</v>
      </c>
      <c r="I25" s="71">
        <f>Tabelle104[[#This Row],[geschätzt 2025]]-Tabelle104[[#This Row],[geschätzt 2024]]</f>
        <v>0</v>
      </c>
    </row>
    <row r="26" spans="1:9" x14ac:dyDescent="0.2">
      <c r="A26" s="73" t="s">
        <v>54</v>
      </c>
      <c r="B26" s="70"/>
      <c r="C26" s="70">
        <f>Gesamtübersicht!N22</f>
        <v>0</v>
      </c>
      <c r="D26" s="70">
        <f>Tabelle104[[#This Row],[Schätzquote 2025]]-Tabelle104[[#This Row],[Schätzquote 2024]]</f>
        <v>0</v>
      </c>
      <c r="E26" s="71"/>
      <c r="F26" s="71">
        <f>Gesamtübersicht!C22</f>
        <v>0</v>
      </c>
      <c r="G26" s="71"/>
      <c r="H26" s="71">
        <f>Gesamtübersicht!K22</f>
        <v>0</v>
      </c>
      <c r="I26" s="71">
        <f>Tabelle104[[#This Row],[geschätzt 2025]]-Tabelle104[[#This Row],[geschätzt 2024]]</f>
        <v>0</v>
      </c>
    </row>
    <row r="27" spans="1:9" x14ac:dyDescent="0.2">
      <c r="A27" s="73" t="s">
        <v>56</v>
      </c>
      <c r="B27" s="70"/>
      <c r="C27" s="70">
        <f>Gesamtübersicht!N23</f>
        <v>0</v>
      </c>
      <c r="D27" s="70">
        <f>Tabelle104[[#This Row],[Schätzquote 2025]]-Tabelle104[[#This Row],[Schätzquote 2024]]</f>
        <v>0</v>
      </c>
      <c r="E27" s="71"/>
      <c r="F27" s="71">
        <f>Gesamtübersicht!C23</f>
        <v>0</v>
      </c>
      <c r="G27" s="71"/>
      <c r="H27" s="71">
        <f>Gesamtübersicht!K23</f>
        <v>0</v>
      </c>
      <c r="I27" s="71">
        <f>Tabelle104[[#This Row],[geschätzt 2025]]-Tabelle104[[#This Row],[geschätzt 2024]]</f>
        <v>0</v>
      </c>
    </row>
    <row r="28" spans="1:9" x14ac:dyDescent="0.2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/>
      <c r="H28" s="71">
        <f>Gesamtübersicht!K24</f>
        <v>0</v>
      </c>
      <c r="I28" s="71">
        <f>Tabelle104[[#This Row],[geschätzt 2025]]-Tabelle104[[#This Row],[geschätzt 2024]]</f>
        <v>0</v>
      </c>
    </row>
    <row r="29" spans="1:9" x14ac:dyDescent="0.2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/>
      <c r="H29" s="71">
        <f>Gesamtübersicht!K25</f>
        <v>0</v>
      </c>
      <c r="I29" s="71">
        <f>Tabelle104[[#This Row],[geschätzt 2025]]-Tabelle104[[#This Row],[geschätzt 2024]]</f>
        <v>0</v>
      </c>
    </row>
    <row r="30" spans="1:9" x14ac:dyDescent="0.2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/>
      <c r="H30" s="71">
        <f>Gesamtübersicht!K26</f>
        <v>0</v>
      </c>
      <c r="I30" s="71">
        <f>Tabelle104[[#This Row],[geschätzt 2025]]-Tabelle104[[#This Row],[geschätzt 2024]]</f>
        <v>0</v>
      </c>
    </row>
    <row r="31" spans="1:9" x14ac:dyDescent="0.2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/>
      <c r="H31" s="71">
        <f>Gesamtübersicht!K27</f>
        <v>0</v>
      </c>
      <c r="I31" s="71">
        <f>Tabelle104[[#This Row],[geschätzt 2025]]-Tabelle104[[#This Row],[geschätzt 2024]]</f>
        <v>0</v>
      </c>
    </row>
    <row r="32" spans="1:9" x14ac:dyDescent="0.2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/>
      <c r="H32" s="71">
        <f>Gesamtübersicht!K28</f>
        <v>0</v>
      </c>
      <c r="I32" s="71">
        <f>Tabelle104[[#This Row],[geschätzt 2025]]-Tabelle104[[#This Row],[geschätzt 2024]]</f>
        <v>0</v>
      </c>
    </row>
    <row r="33" spans="1:9" x14ac:dyDescent="0.2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/>
      <c r="H33" s="71">
        <f>Gesamtübersicht!K29</f>
        <v>0</v>
      </c>
      <c r="I33" s="71">
        <f>Tabelle104[[#This Row],[geschätzt 2025]]-Tabelle104[[#This Row],[geschätzt 2024]]</f>
        <v>0</v>
      </c>
    </row>
    <row r="34" spans="1:9" x14ac:dyDescent="0.2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/>
      <c r="H34" s="71">
        <f>Gesamtübersicht!K30</f>
        <v>0</v>
      </c>
      <c r="I34" s="71">
        <f>Tabelle104[[#This Row],[geschätzt 2025]]-Tabelle104[[#This Row],[geschätzt 2024]]</f>
        <v>0</v>
      </c>
    </row>
    <row r="35" spans="1:9" x14ac:dyDescent="0.2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2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9949</v>
      </c>
    </row>
    <row r="37" spans="1:9" x14ac:dyDescent="0.2">
      <c r="A37" s="73" t="s">
        <v>136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146</v>
      </c>
      <c r="B2" s="52">
        <v>45660</v>
      </c>
      <c r="C2" s="36">
        <v>0.83620000000000005</v>
      </c>
      <c r="D2" s="58">
        <v>0.02</v>
      </c>
    </row>
    <row r="3" spans="1:4" x14ac:dyDescent="0.2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2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2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2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2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2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2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2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2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2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2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2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2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2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2">
      <c r="C15" t="s">
        <v>147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2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2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2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2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2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2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2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2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2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2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2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2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2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2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2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2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2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2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2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2">
      <c r="B6" s="52"/>
      <c r="C6" s="58"/>
      <c r="D6" s="58"/>
    </row>
    <row r="7" spans="1:4" x14ac:dyDescent="0.2">
      <c r="B7" s="52"/>
      <c r="C7" s="58"/>
      <c r="D7" s="58"/>
    </row>
    <row r="8" spans="1:4" x14ac:dyDescent="0.2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2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2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2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2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2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2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2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2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2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2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2">
      <c r="B6" s="52"/>
      <c r="C6" s="57"/>
      <c r="D6" s="58"/>
    </row>
    <row r="7" spans="1:4" x14ac:dyDescent="0.2">
      <c r="B7" s="52"/>
      <c r="C7" s="57"/>
      <c r="D7" s="58"/>
    </row>
    <row r="8" spans="1:4" x14ac:dyDescent="0.2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C3" sqref="C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2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2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2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2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2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2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2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2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2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2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2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2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2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2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2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2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2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2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6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112</v>
      </c>
      <c r="B2" s="52">
        <v>45856</v>
      </c>
      <c r="C2" s="58"/>
      <c r="D2" s="36">
        <v>0.02</v>
      </c>
    </row>
    <row r="3" spans="1:4" x14ac:dyDescent="0.2">
      <c r="A3" t="s">
        <v>113</v>
      </c>
      <c r="B3" s="52">
        <v>45863</v>
      </c>
      <c r="C3" s="58"/>
      <c r="D3" s="36">
        <v>0.02</v>
      </c>
    </row>
    <row r="4" spans="1:4" x14ac:dyDescent="0.2">
      <c r="A4" t="s">
        <v>114</v>
      </c>
      <c r="B4" s="52">
        <v>45870</v>
      </c>
      <c r="C4" s="58"/>
      <c r="D4" s="36">
        <v>0.02</v>
      </c>
    </row>
    <row r="5" spans="1:4" x14ac:dyDescent="0.2">
      <c r="A5" t="s">
        <v>115</v>
      </c>
      <c r="B5" s="52">
        <v>45877</v>
      </c>
      <c r="C5" s="58"/>
      <c r="D5" s="36">
        <v>0.02</v>
      </c>
    </row>
    <row r="6" spans="1:4" x14ac:dyDescent="0.2">
      <c r="A6" t="s">
        <v>116</v>
      </c>
      <c r="B6" s="52">
        <v>45884</v>
      </c>
      <c r="C6" s="58"/>
      <c r="D6" s="36">
        <v>0.02</v>
      </c>
    </row>
  </sheetData>
  <protectedRanges>
    <protectedRange sqref="C2:C5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7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113</v>
      </c>
      <c r="B2" s="52">
        <v>45863</v>
      </c>
      <c r="C2" s="58"/>
      <c r="D2" s="36">
        <v>0.02</v>
      </c>
    </row>
    <row r="3" spans="1:4" x14ac:dyDescent="0.2">
      <c r="A3" t="s">
        <v>114</v>
      </c>
      <c r="B3" s="52">
        <v>45870</v>
      </c>
      <c r="C3" s="58"/>
      <c r="D3" s="36">
        <v>0.02</v>
      </c>
    </row>
    <row r="4" spans="1:4" x14ac:dyDescent="0.2">
      <c r="A4" t="s">
        <v>115</v>
      </c>
      <c r="B4" s="52">
        <v>45877</v>
      </c>
      <c r="C4" s="58"/>
      <c r="D4" s="36">
        <v>0.02</v>
      </c>
    </row>
    <row r="5" spans="1:4" x14ac:dyDescent="0.2">
      <c r="A5" t="s">
        <v>116</v>
      </c>
      <c r="B5" s="52">
        <v>45884</v>
      </c>
      <c r="C5" s="58"/>
      <c r="D5" s="36">
        <v>0.02</v>
      </c>
    </row>
    <row r="6" spans="1:4" x14ac:dyDescent="0.2">
      <c r="A6" t="s">
        <v>117</v>
      </c>
      <c r="B6" s="52">
        <v>45891</v>
      </c>
      <c r="C6" s="58"/>
      <c r="D6" s="36">
        <v>0.02</v>
      </c>
    </row>
    <row r="7" spans="1:4" x14ac:dyDescent="0.2">
      <c r="A7" t="s">
        <v>118</v>
      </c>
      <c r="B7" s="52">
        <v>45898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S6" sqref="S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116</v>
      </c>
      <c r="B2" s="52">
        <v>45884</v>
      </c>
      <c r="C2" s="58"/>
      <c r="D2" s="36">
        <v>0.02</v>
      </c>
    </row>
    <row r="3" spans="1:4" x14ac:dyDescent="0.2">
      <c r="A3" t="s">
        <v>117</v>
      </c>
      <c r="B3" s="52">
        <v>45891</v>
      </c>
      <c r="C3" s="58"/>
      <c r="D3" s="36">
        <v>0.02</v>
      </c>
    </row>
    <row r="4" spans="1:4" x14ac:dyDescent="0.2">
      <c r="A4" t="s">
        <v>118</v>
      </c>
      <c r="B4" s="52">
        <v>45898</v>
      </c>
      <c r="C4" s="58"/>
      <c r="D4" s="36">
        <v>0.02</v>
      </c>
    </row>
    <row r="5" spans="1:4" x14ac:dyDescent="0.2">
      <c r="A5" t="s">
        <v>119</v>
      </c>
      <c r="B5" s="52">
        <v>45905</v>
      </c>
      <c r="C5" s="58"/>
      <c r="D5" s="36">
        <v>0.02</v>
      </c>
    </row>
    <row r="6" spans="1:4" x14ac:dyDescent="0.2">
      <c r="A6" t="s">
        <v>120</v>
      </c>
      <c r="B6" s="52">
        <v>45912</v>
      </c>
      <c r="C6" s="58"/>
      <c r="D6" s="36">
        <v>0.02</v>
      </c>
    </row>
    <row r="7" spans="1:4" x14ac:dyDescent="0.2">
      <c r="A7" t="s">
        <v>121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117</v>
      </c>
      <c r="B2" s="52">
        <v>45891</v>
      </c>
      <c r="C2" s="58"/>
      <c r="D2" s="36">
        <v>0.02</v>
      </c>
    </row>
    <row r="3" spans="1:4" x14ac:dyDescent="0.2">
      <c r="A3" t="s">
        <v>118</v>
      </c>
      <c r="B3" s="52">
        <v>45898</v>
      </c>
      <c r="C3" s="58"/>
      <c r="D3" s="36">
        <v>0.02</v>
      </c>
    </row>
    <row r="4" spans="1:4" x14ac:dyDescent="0.2">
      <c r="A4" t="s">
        <v>119</v>
      </c>
      <c r="B4" s="52">
        <v>45905</v>
      </c>
      <c r="C4" s="58"/>
      <c r="D4" s="36">
        <v>0.02</v>
      </c>
    </row>
    <row r="5" spans="1:4" x14ac:dyDescent="0.2">
      <c r="A5" t="s">
        <v>120</v>
      </c>
      <c r="B5" s="52">
        <v>45912</v>
      </c>
      <c r="C5" s="58"/>
      <c r="D5" s="36">
        <v>0.02</v>
      </c>
    </row>
    <row r="6" spans="1:4" x14ac:dyDescent="0.2">
      <c r="A6" t="s">
        <v>121</v>
      </c>
      <c r="B6" s="52">
        <v>45919</v>
      </c>
      <c r="C6" s="58"/>
      <c r="D6" s="36">
        <v>0.02</v>
      </c>
    </row>
    <row r="7" spans="1:4" x14ac:dyDescent="0.2">
      <c r="A7" t="s">
        <v>122</v>
      </c>
      <c r="B7" s="52">
        <v>45926</v>
      </c>
      <c r="C7" s="58"/>
      <c r="D7" s="36">
        <v>0.02</v>
      </c>
    </row>
    <row r="8" spans="1:4" x14ac:dyDescent="0.2">
      <c r="A8" t="s">
        <v>123</v>
      </c>
      <c r="B8" s="52">
        <v>45932</v>
      </c>
      <c r="C8" s="58"/>
      <c r="D8" s="36">
        <v>0.02</v>
      </c>
    </row>
    <row r="9" spans="1:4" x14ac:dyDescent="0.2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120</v>
      </c>
      <c r="B2" s="52">
        <v>45912</v>
      </c>
      <c r="C2" s="58"/>
      <c r="D2" s="36">
        <v>0.02</v>
      </c>
    </row>
    <row r="3" spans="1:4" x14ac:dyDescent="0.2">
      <c r="A3" t="s">
        <v>121</v>
      </c>
      <c r="B3" s="52">
        <v>45919</v>
      </c>
      <c r="C3" s="58"/>
      <c r="D3" s="36">
        <v>0.02</v>
      </c>
    </row>
    <row r="4" spans="1:4" x14ac:dyDescent="0.2">
      <c r="A4" t="s">
        <v>122</v>
      </c>
      <c r="B4" s="52">
        <v>45926</v>
      </c>
      <c r="C4" s="58"/>
      <c r="D4" s="36">
        <v>0.02</v>
      </c>
    </row>
    <row r="5" spans="1:4" x14ac:dyDescent="0.2">
      <c r="A5" t="s">
        <v>123</v>
      </c>
      <c r="B5" s="52">
        <v>45932</v>
      </c>
      <c r="C5" s="58"/>
      <c r="D5" s="36">
        <v>0.02</v>
      </c>
    </row>
    <row r="6" spans="1:4" x14ac:dyDescent="0.2">
      <c r="A6" t="s">
        <v>124</v>
      </c>
      <c r="B6" s="52">
        <v>45940</v>
      </c>
      <c r="C6" s="58"/>
      <c r="D6" s="36">
        <v>0.02</v>
      </c>
    </row>
    <row r="7" spans="1:4" x14ac:dyDescent="0.2">
      <c r="A7" t="s">
        <v>125</v>
      </c>
      <c r="B7" s="52">
        <v>45946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121</v>
      </c>
      <c r="B2" s="52">
        <v>45919</v>
      </c>
      <c r="C2" s="58"/>
      <c r="D2" s="36">
        <v>0.02</v>
      </c>
    </row>
    <row r="3" spans="1:4" x14ac:dyDescent="0.2">
      <c r="A3" t="s">
        <v>122</v>
      </c>
      <c r="B3" s="52">
        <v>45926</v>
      </c>
      <c r="C3" s="58"/>
      <c r="D3" s="36">
        <v>0.02</v>
      </c>
    </row>
    <row r="4" spans="1:4" x14ac:dyDescent="0.2">
      <c r="A4" t="s">
        <v>123</v>
      </c>
      <c r="B4" s="52">
        <v>45932</v>
      </c>
      <c r="C4" s="58"/>
      <c r="D4" s="36">
        <v>0.02</v>
      </c>
    </row>
    <row r="5" spans="1:4" x14ac:dyDescent="0.2">
      <c r="A5" t="s">
        <v>124</v>
      </c>
      <c r="B5" s="52">
        <v>45940</v>
      </c>
      <c r="C5" s="58"/>
      <c r="D5" s="36">
        <v>0.02</v>
      </c>
    </row>
    <row r="6" spans="1:4" x14ac:dyDescent="0.2">
      <c r="A6" t="s">
        <v>125</v>
      </c>
      <c r="B6" s="52">
        <v>45947</v>
      </c>
      <c r="C6" s="58"/>
      <c r="D6" s="36">
        <v>0.02</v>
      </c>
    </row>
    <row r="7" spans="1:4" x14ac:dyDescent="0.2">
      <c r="A7" t="s">
        <v>126</v>
      </c>
      <c r="B7" s="52">
        <v>45954</v>
      </c>
      <c r="C7" s="58"/>
      <c r="D7" s="36">
        <v>0.02</v>
      </c>
    </row>
    <row r="8" spans="1:4" x14ac:dyDescent="0.2">
      <c r="A8" t="s">
        <v>127</v>
      </c>
      <c r="B8" s="52">
        <v>45961</v>
      </c>
      <c r="C8" s="58"/>
      <c r="D8" s="36">
        <v>0.02</v>
      </c>
    </row>
    <row r="9" spans="1:4" x14ac:dyDescent="0.2">
      <c r="A9" t="s">
        <v>128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123</v>
      </c>
      <c r="B2" s="52">
        <v>45932</v>
      </c>
      <c r="C2" s="58"/>
      <c r="D2" s="36">
        <v>0.02</v>
      </c>
    </row>
    <row r="3" spans="1:4" x14ac:dyDescent="0.2">
      <c r="A3" t="s">
        <v>124</v>
      </c>
      <c r="B3" s="52">
        <v>45940</v>
      </c>
      <c r="C3" s="58"/>
      <c r="D3" s="36">
        <v>0.02</v>
      </c>
    </row>
    <row r="4" spans="1:4" x14ac:dyDescent="0.2">
      <c r="A4" t="s">
        <v>125</v>
      </c>
      <c r="B4" s="52">
        <v>45947</v>
      </c>
      <c r="C4" s="58"/>
      <c r="D4" s="36">
        <v>0.02</v>
      </c>
    </row>
    <row r="5" spans="1:4" x14ac:dyDescent="0.2">
      <c r="A5" t="s">
        <v>126</v>
      </c>
      <c r="B5" s="52">
        <v>45954</v>
      </c>
      <c r="C5" s="58"/>
      <c r="D5" s="36">
        <v>0.02</v>
      </c>
    </row>
    <row r="6" spans="1:4" x14ac:dyDescent="0.2">
      <c r="A6" t="s">
        <v>127</v>
      </c>
      <c r="B6" s="52">
        <v>45961</v>
      </c>
      <c r="C6" s="58"/>
      <c r="D6" s="36">
        <v>0.02</v>
      </c>
    </row>
    <row r="7" spans="1:4" x14ac:dyDescent="0.2">
      <c r="A7" t="s">
        <v>128</v>
      </c>
      <c r="B7" s="52">
        <v>45967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125</v>
      </c>
      <c r="B2" s="52">
        <v>45947</v>
      </c>
      <c r="C2" s="58"/>
      <c r="D2" s="36">
        <v>0.02</v>
      </c>
    </row>
    <row r="3" spans="1:4" x14ac:dyDescent="0.2">
      <c r="A3" t="s">
        <v>126</v>
      </c>
      <c r="B3" s="52">
        <v>45954</v>
      </c>
      <c r="C3" s="58"/>
      <c r="D3" s="36">
        <v>0.02</v>
      </c>
    </row>
    <row r="4" spans="1:4" x14ac:dyDescent="0.2">
      <c r="A4" t="s">
        <v>127</v>
      </c>
      <c r="B4" s="52">
        <v>45961</v>
      </c>
      <c r="C4" s="58"/>
      <c r="D4" s="36">
        <v>0.02</v>
      </c>
    </row>
    <row r="5" spans="1:4" x14ac:dyDescent="0.2">
      <c r="A5" t="s">
        <v>128</v>
      </c>
      <c r="B5" s="52">
        <v>45968</v>
      </c>
      <c r="C5" s="58"/>
      <c r="D5" s="36">
        <v>0.02</v>
      </c>
    </row>
    <row r="6" spans="1:4" x14ac:dyDescent="0.2">
      <c r="A6" t="s">
        <v>129</v>
      </c>
      <c r="B6" s="52">
        <v>45975</v>
      </c>
      <c r="C6" s="58"/>
      <c r="D6" s="36">
        <v>0.02</v>
      </c>
    </row>
    <row r="7" spans="1:4" x14ac:dyDescent="0.2">
      <c r="A7" t="s">
        <v>130</v>
      </c>
      <c r="B7" s="52">
        <v>45981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126</v>
      </c>
      <c r="B2" s="52">
        <v>45954</v>
      </c>
      <c r="C2" s="58"/>
      <c r="D2" s="36">
        <v>0.02</v>
      </c>
    </row>
    <row r="3" spans="1:4" x14ac:dyDescent="0.2">
      <c r="A3" t="s">
        <v>127</v>
      </c>
      <c r="B3" s="52">
        <v>45961</v>
      </c>
      <c r="C3" s="58"/>
      <c r="D3" s="36">
        <v>0.02</v>
      </c>
    </row>
    <row r="4" spans="1:4" x14ac:dyDescent="0.2">
      <c r="A4" t="s">
        <v>128</v>
      </c>
      <c r="B4" s="52">
        <v>45968</v>
      </c>
      <c r="C4" s="58"/>
      <c r="D4" s="36">
        <v>0.02</v>
      </c>
    </row>
    <row r="5" spans="1:4" x14ac:dyDescent="0.2">
      <c r="A5" t="s">
        <v>129</v>
      </c>
      <c r="B5" s="52">
        <v>45975</v>
      </c>
      <c r="C5" s="58"/>
      <c r="D5" s="36">
        <v>0.02</v>
      </c>
    </row>
    <row r="6" spans="1:4" x14ac:dyDescent="0.2">
      <c r="A6" t="s">
        <v>130</v>
      </c>
      <c r="B6" s="52">
        <v>45982</v>
      </c>
      <c r="C6" s="58"/>
      <c r="D6" s="36">
        <v>0.02</v>
      </c>
    </row>
    <row r="7" spans="1:4" x14ac:dyDescent="0.2">
      <c r="A7" t="s">
        <v>131</v>
      </c>
      <c r="B7" s="52">
        <v>45989</v>
      </c>
      <c r="C7" s="58"/>
      <c r="D7" s="36">
        <v>0.02</v>
      </c>
    </row>
    <row r="8" spans="1:4" x14ac:dyDescent="0.2">
      <c r="A8" t="s">
        <v>132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128</v>
      </c>
      <c r="B2" s="52">
        <v>45968</v>
      </c>
      <c r="C2" s="58"/>
      <c r="D2" s="36">
        <v>0.02</v>
      </c>
    </row>
    <row r="3" spans="1:4" x14ac:dyDescent="0.2">
      <c r="A3" t="s">
        <v>129</v>
      </c>
      <c r="B3" s="52">
        <v>45975</v>
      </c>
      <c r="C3" s="58"/>
      <c r="D3" s="36">
        <v>0.02</v>
      </c>
    </row>
    <row r="4" spans="1:4" x14ac:dyDescent="0.2">
      <c r="A4" t="s">
        <v>130</v>
      </c>
      <c r="B4" s="52">
        <v>45982</v>
      </c>
      <c r="C4" s="58"/>
      <c r="D4" s="36">
        <v>0.02</v>
      </c>
    </row>
    <row r="5" spans="1:4" x14ac:dyDescent="0.2">
      <c r="A5" t="s">
        <v>131</v>
      </c>
      <c r="B5" s="52">
        <v>45989</v>
      </c>
      <c r="C5" s="58"/>
      <c r="D5" s="36">
        <v>0.02</v>
      </c>
    </row>
    <row r="6" spans="1:4" x14ac:dyDescent="0.2">
      <c r="A6" t="s">
        <v>132</v>
      </c>
      <c r="B6" s="52">
        <v>45996</v>
      </c>
      <c r="C6" s="58"/>
      <c r="D6" s="36">
        <v>0.02</v>
      </c>
    </row>
    <row r="7" spans="1:4" x14ac:dyDescent="0.2">
      <c r="A7" t="s">
        <v>133</v>
      </c>
      <c r="B7" s="52">
        <v>46003</v>
      </c>
      <c r="C7" s="58"/>
      <c r="D7" s="36">
        <v>0.02</v>
      </c>
    </row>
    <row r="8" spans="1:4" x14ac:dyDescent="0.2">
      <c r="A8" t="s">
        <v>134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A8" t="s">
        <v>133</v>
      </c>
      <c r="B8" s="52">
        <v>46003</v>
      </c>
      <c r="C8" s="58"/>
      <c r="D8" s="36">
        <v>0.02</v>
      </c>
    </row>
    <row r="9" spans="1:4" x14ac:dyDescent="0.2">
      <c r="A9" t="s">
        <v>134</v>
      </c>
      <c r="B9" s="52">
        <v>46010</v>
      </c>
      <c r="C9" s="58"/>
      <c r="D9" s="36">
        <v>0.02</v>
      </c>
    </row>
    <row r="10" spans="1:4" x14ac:dyDescent="0.2">
      <c r="A10" t="s">
        <v>141</v>
      </c>
      <c r="B10" s="52">
        <v>46017</v>
      </c>
      <c r="C10" s="58"/>
      <c r="D10" s="36">
        <v>0.02</v>
      </c>
    </row>
    <row r="11" spans="1:4" x14ac:dyDescent="0.2">
      <c r="A11" t="s">
        <v>142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131</v>
      </c>
      <c r="B2" s="52">
        <v>45989</v>
      </c>
      <c r="C2" s="58"/>
      <c r="D2" s="36">
        <v>0.02</v>
      </c>
    </row>
    <row r="3" spans="1:4" x14ac:dyDescent="0.2">
      <c r="A3" t="s">
        <v>132</v>
      </c>
      <c r="B3" s="52">
        <v>45996</v>
      </c>
      <c r="C3" s="58"/>
      <c r="D3" s="36">
        <v>0.02</v>
      </c>
    </row>
    <row r="4" spans="1:4" x14ac:dyDescent="0.2">
      <c r="A4" t="s">
        <v>133</v>
      </c>
      <c r="B4" s="52">
        <v>46003</v>
      </c>
      <c r="C4" s="58"/>
      <c r="D4" s="36">
        <v>0.02</v>
      </c>
    </row>
    <row r="5" spans="1:4" x14ac:dyDescent="0.2">
      <c r="A5" t="s">
        <v>134</v>
      </c>
      <c r="B5" s="52">
        <v>46010</v>
      </c>
      <c r="C5" s="58"/>
      <c r="D5" s="36">
        <v>0.02</v>
      </c>
    </row>
    <row r="6" spans="1:4" x14ac:dyDescent="0.2">
      <c r="A6" t="s">
        <v>141</v>
      </c>
      <c r="B6" s="52">
        <v>46017</v>
      </c>
      <c r="C6" s="58"/>
      <c r="D6" s="36">
        <v>0.02</v>
      </c>
    </row>
    <row r="7" spans="1:4" x14ac:dyDescent="0.2">
      <c r="A7" t="s">
        <v>142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2025-08-05T07:11:04Z</dcterms:modified>
</cp:coreProperties>
</file>