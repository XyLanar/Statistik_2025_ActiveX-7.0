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tables/table10.xml" ContentType="application/vnd.openxmlformats-officedocument.spreadsheetml.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tables/table11.xml" ContentType="application/vnd.openxmlformats-officedocument.spreadsheetml.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tables/table12.xml" ContentType="application/vnd.openxmlformats-officedocument.spreadsheetml.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tables/table13.xml" ContentType="application/vnd.openxmlformats-officedocument.spreadsheetml.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tables/table14.xml" ContentType="application/vnd.openxmlformats-officedocument.spreadsheetml.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tables/table15.xml" ContentType="application/vnd.openxmlformats-officedocument.spreadsheetml.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tables/table16.xml" ContentType="application/vnd.openxmlformats-officedocument.spreadsheetml.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tables/table17.xml" ContentType="application/vnd.openxmlformats-officedocument.spreadsheetml.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tables/table18.xml" ContentType="application/vnd.openxmlformats-officedocument.spreadsheetml.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tables/table19.xml" ContentType="application/vnd.openxmlformats-officedocument.spreadsheetml.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tables/table20.xml" ContentType="application/vnd.openxmlformats-officedocument.spreadsheetml.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tables/table21.xml" ContentType="application/vnd.openxmlformats-officedocument.spreadsheetml.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tables/table22.xml" ContentType="application/vnd.openxmlformats-officedocument.spreadsheetml.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tables/table23.xml" ContentType="application/vnd.openxmlformats-officedocument.spreadsheetml.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tables/table24.xml" ContentType="application/vnd.openxmlformats-officedocument.spreadsheetml.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tables/table25.xml" ContentType="application/vnd.openxmlformats-officedocument.spreadsheetml.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tables/table26.xml" ContentType="application/vnd.openxmlformats-officedocument.spreadsheetml.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tables/table27.xml" ContentType="application/vnd.openxmlformats-officedocument.spreadsheetml.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tables/table28.xml" ContentType="application/vnd.openxmlformats-officedocument.spreadsheetml.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tables/table29.xml" ContentType="application/vnd.openxmlformats-officedocument.spreadsheetml.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tables/table30.xml" ContentType="application/vnd.openxmlformats-officedocument.spreadsheetml.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tables/table31.xml" ContentType="application/vnd.openxmlformats-officedocument.spreadsheetml.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tables/table32.xml" ContentType="application/vnd.openxmlformats-officedocument.spreadsheetml.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tables/table33.xml" ContentType="application/vnd.openxmlformats-officedocument.spreadsheetml.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tables/table34.xml" ContentType="application/vnd.openxmlformats-officedocument.spreadsheetml.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tables/table35.xml" ContentType="application/vnd.openxmlformats-officedocument.spreadsheetml.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tables/table36.xml" ContentType="application/vnd.openxmlformats-officedocument.spreadsheetml.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tables/table37.xml" ContentType="application/vnd.openxmlformats-officedocument.spreadsheetml.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S:\smartOptimo_MS\Statistik_Ablesung\2025\"/>
    </mc:Choice>
  </mc:AlternateContent>
  <xr:revisionPtr revIDLastSave="0" documentId="13_ncr:1_{B3C5A499-D8A4-4102-97A0-0AAAC3DC6803}" xr6:coauthVersionLast="47" xr6:coauthVersionMax="47" xr10:uidLastSave="{00000000-0000-0000-0000-000000000000}"/>
  <bookViews>
    <workbookView xWindow="-30828" yWindow="-96" windowWidth="30936" windowHeight="16776" xr2:uid="{B3093790-6535-4F92-8096-0F87879D66DA}"/>
  </bookViews>
  <sheets>
    <sheet name="Dashboard" sheetId="4" r:id="rId1"/>
    <sheet name="Gesamtübersicht" sheetId="1" r:id="rId2"/>
    <sheet name="Durchschnittsschätzquote" sheetId="23" state="hidden" r:id="rId3"/>
    <sheet name="aktuelle Schätzquote" sheetId="5" r:id="rId4"/>
    <sheet name="finale Schätzquote" sheetId="6" r:id="rId5"/>
    <sheet name="Ablesewerte je Portion" sheetId="7" r:id="rId6"/>
    <sheet name="Vergleich Vorjahr" sheetId="39" r:id="rId7"/>
    <sheet name="P01A" sheetId="8" r:id="rId8"/>
    <sheet name="P01B" sheetId="9" r:id="rId9"/>
    <sheet name="P01C" sheetId="10" r:id="rId10"/>
    <sheet name="P02A" sheetId="11" r:id="rId11"/>
    <sheet name="P02B" sheetId="12" r:id="rId12"/>
    <sheet name="P02C" sheetId="13" r:id="rId13"/>
    <sheet name="P03A" sheetId="14" r:id="rId14"/>
    <sheet name="P03B" sheetId="15" r:id="rId15"/>
    <sheet name="P03C" sheetId="16" r:id="rId16"/>
    <sheet name="P04A" sheetId="17" r:id="rId17"/>
    <sheet name="P04B" sheetId="18" r:id="rId18"/>
    <sheet name="P04C" sheetId="19" r:id="rId19"/>
    <sheet name="P05B" sheetId="20" r:id="rId20"/>
    <sheet name="P05C" sheetId="21" r:id="rId21"/>
    <sheet name="P06A" sheetId="22" r:id="rId22"/>
    <sheet name="P07C" sheetId="24" r:id="rId23"/>
    <sheet name="P08A" sheetId="25" r:id="rId24"/>
    <sheet name="P08B" sheetId="26" r:id="rId25"/>
    <sheet name="P09A" sheetId="27" r:id="rId26"/>
    <sheet name="P09B" sheetId="28" r:id="rId27"/>
    <sheet name="P10A" sheetId="29" r:id="rId28"/>
    <sheet name="P10B" sheetId="30" r:id="rId29"/>
    <sheet name="P10C" sheetId="31" r:id="rId30"/>
    <sheet name="P11A" sheetId="32" r:id="rId31"/>
    <sheet name="P11B" sheetId="33" r:id="rId32"/>
    <sheet name="P11C" sheetId="34" r:id="rId33"/>
    <sheet name="P12A" sheetId="35" r:id="rId34"/>
    <sheet name="P12C" sheetId="36" r:id="rId35"/>
    <sheet name="P12E" sheetId="37" r:id="rId36"/>
    <sheet name="P12EEG" sheetId="38" r:id="rId3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9" i="1" l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18" i="1"/>
  <c r="C16" i="39"/>
  <c r="C17" i="39"/>
  <c r="H23" i="39" l="1"/>
  <c r="I23" i="39" s="1"/>
  <c r="H24" i="39"/>
  <c r="I24" i="39" s="1"/>
  <c r="H25" i="39"/>
  <c r="I25" i="39" s="1"/>
  <c r="H26" i="39"/>
  <c r="I26" i="39" s="1"/>
  <c r="H27" i="39"/>
  <c r="I27" i="39" s="1"/>
  <c r="H28" i="39"/>
  <c r="I28" i="39" s="1"/>
  <c r="H29" i="39"/>
  <c r="I29" i="39" s="1"/>
  <c r="H30" i="39"/>
  <c r="I30" i="39" s="1"/>
  <c r="H31" i="39"/>
  <c r="I31" i="39" s="1"/>
  <c r="H32" i="39"/>
  <c r="I32" i="39" s="1"/>
  <c r="H33" i="39"/>
  <c r="I33" i="39" s="1"/>
  <c r="H34" i="39"/>
  <c r="I34" i="39" s="1"/>
  <c r="F23" i="39"/>
  <c r="F24" i="39"/>
  <c r="F25" i="39"/>
  <c r="F26" i="39"/>
  <c r="F27" i="39"/>
  <c r="F28" i="39"/>
  <c r="F29" i="39"/>
  <c r="F30" i="39"/>
  <c r="F31" i="39"/>
  <c r="F32" i="39"/>
  <c r="F33" i="39"/>
  <c r="F34" i="39"/>
  <c r="C23" i="39"/>
  <c r="D23" i="39" s="1"/>
  <c r="C24" i="39"/>
  <c r="D24" i="39" s="1"/>
  <c r="C25" i="39"/>
  <c r="D25" i="39" s="1"/>
  <c r="C26" i="39"/>
  <c r="D26" i="39" s="1"/>
  <c r="C27" i="39"/>
  <c r="D27" i="39" s="1"/>
  <c r="C28" i="39"/>
  <c r="D28" i="39" s="1"/>
  <c r="C29" i="39"/>
  <c r="D29" i="39" s="1"/>
  <c r="C30" i="39"/>
  <c r="D30" i="39" s="1"/>
  <c r="C31" i="39"/>
  <c r="D31" i="39" s="1"/>
  <c r="C32" i="39"/>
  <c r="D32" i="39" s="1"/>
  <c r="C33" i="39"/>
  <c r="D33" i="39" s="1"/>
  <c r="C34" i="39"/>
  <c r="D34" i="39" s="1"/>
  <c r="C35" i="39"/>
  <c r="D35" i="39" s="1"/>
  <c r="H22" i="39"/>
  <c r="I22" i="39" s="1"/>
  <c r="F22" i="39"/>
  <c r="C22" i="39"/>
  <c r="D22" i="39" s="1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E17" i="7"/>
  <c r="D17" i="7"/>
  <c r="C17" i="7"/>
  <c r="B17" i="7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H17" i="39"/>
  <c r="I17" i="39" s="1"/>
  <c r="H16" i="39"/>
  <c r="I16" i="39" s="1"/>
  <c r="F16" i="39"/>
  <c r="F17" i="39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18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2" i="6"/>
  <c r="H5" i="39"/>
  <c r="I5" i="39" s="1"/>
  <c r="H6" i="39"/>
  <c r="H7" i="39"/>
  <c r="I7" i="39" s="1"/>
  <c r="H8" i="39"/>
  <c r="I8" i="39" s="1"/>
  <c r="H9" i="39"/>
  <c r="I9" i="39" s="1"/>
  <c r="H10" i="39"/>
  <c r="I10" i="39" s="1"/>
  <c r="H11" i="39"/>
  <c r="I11" i="39" s="1"/>
  <c r="H12" i="39"/>
  <c r="I12" i="39" s="1"/>
  <c r="H13" i="39"/>
  <c r="I13" i="39" s="1"/>
  <c r="H14" i="39"/>
  <c r="I14" i="39" s="1"/>
  <c r="H15" i="39"/>
  <c r="I15" i="39" s="1"/>
  <c r="H18" i="39"/>
  <c r="I18" i="39" s="1"/>
  <c r="F5" i="39"/>
  <c r="F6" i="39"/>
  <c r="F7" i="39"/>
  <c r="F8" i="39"/>
  <c r="F9" i="39"/>
  <c r="F10" i="39"/>
  <c r="F11" i="39"/>
  <c r="F12" i="39"/>
  <c r="F13" i="39"/>
  <c r="F14" i="39"/>
  <c r="F15" i="39"/>
  <c r="F18" i="39"/>
  <c r="C9" i="39"/>
  <c r="D9" i="39" s="1"/>
  <c r="C10" i="39"/>
  <c r="D10" i="39" s="1"/>
  <c r="C11" i="39"/>
  <c r="D11" i="39" s="1"/>
  <c r="C12" i="39"/>
  <c r="D12" i="39" s="1"/>
  <c r="C13" i="39"/>
  <c r="D13" i="39" s="1"/>
  <c r="C14" i="39"/>
  <c r="D14" i="39" s="1"/>
  <c r="C15" i="39"/>
  <c r="D15" i="39" s="1"/>
  <c r="D16" i="39"/>
  <c r="D17" i="39"/>
  <c r="C18" i="39"/>
  <c r="D18" i="39" s="1"/>
  <c r="C8" i="39"/>
  <c r="D8" i="39" s="1"/>
  <c r="C7" i="39"/>
  <c r="D7" i="39" s="1"/>
  <c r="C6" i="39"/>
  <c r="D6" i="39" s="1"/>
  <c r="C5" i="39"/>
  <c r="D5" i="39" s="1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8" i="23"/>
  <c r="C19" i="23"/>
  <c r="C20" i="23"/>
  <c r="C21" i="23"/>
  <c r="C22" i="23"/>
  <c r="C23" i="23"/>
  <c r="C24" i="23"/>
  <c r="C25" i="23"/>
  <c r="C26" i="23"/>
  <c r="C27" i="23"/>
  <c r="C28" i="23"/>
  <c r="C29" i="23"/>
  <c r="C30" i="23"/>
  <c r="C31" i="23"/>
  <c r="C32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8" i="23"/>
  <c r="B19" i="23"/>
  <c r="B20" i="23"/>
  <c r="B21" i="23"/>
  <c r="B22" i="23"/>
  <c r="B23" i="23"/>
  <c r="B24" i="23"/>
  <c r="B25" i="23"/>
  <c r="B26" i="23"/>
  <c r="B27" i="23"/>
  <c r="B28" i="23"/>
  <c r="B29" i="23"/>
  <c r="B30" i="23"/>
  <c r="B31" i="23"/>
  <c r="B32" i="23"/>
  <c r="B2" i="23"/>
  <c r="H4" i="39"/>
  <c r="I4" i="39" s="1"/>
  <c r="F4" i="39"/>
  <c r="C4" i="39"/>
  <c r="D4" i="39" s="1"/>
  <c r="I37" i="39"/>
  <c r="D37" i="39"/>
  <c r="D36" i="39"/>
  <c r="I35" i="39"/>
  <c r="D19" i="39"/>
  <c r="I6" i="39"/>
  <c r="I36" i="39" l="1"/>
  <c r="I19" i="39"/>
  <c r="C5" i="5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2" i="7"/>
  <c r="A2" i="7"/>
  <c r="B2" i="7"/>
  <c r="A3" i="7"/>
  <c r="B3" i="7"/>
  <c r="A4" i="7"/>
  <c r="B4" i="7"/>
  <c r="A5" i="7"/>
  <c r="B5" i="7"/>
  <c r="A6" i="7"/>
  <c r="B6" i="7"/>
  <c r="E6" i="7"/>
  <c r="A7" i="7"/>
  <c r="B7" i="7"/>
  <c r="E7" i="7"/>
  <c r="A8" i="7"/>
  <c r="B8" i="7"/>
  <c r="E8" i="7"/>
  <c r="A9" i="7"/>
  <c r="B9" i="7"/>
  <c r="E9" i="7"/>
  <c r="A10" i="7"/>
  <c r="B10" i="7"/>
  <c r="E10" i="7"/>
  <c r="A11" i="7"/>
  <c r="B11" i="7"/>
  <c r="E11" i="7"/>
  <c r="A12" i="7"/>
  <c r="B12" i="7"/>
  <c r="E12" i="7"/>
  <c r="A13" i="7"/>
  <c r="B13" i="7"/>
  <c r="E13" i="7"/>
  <c r="A14" i="7"/>
  <c r="B14" i="7"/>
  <c r="E14" i="7"/>
  <c r="A15" i="7"/>
  <c r="B15" i="7"/>
  <c r="E15" i="7"/>
  <c r="A16" i="7"/>
  <c r="B16" i="7"/>
  <c r="E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C2" i="5"/>
  <c r="C3" i="5"/>
  <c r="C4" i="5"/>
  <c r="C6" i="5"/>
  <c r="C7" i="5"/>
  <c r="C8" i="5"/>
  <c r="C9" i="5"/>
  <c r="C10" i="5"/>
  <c r="C11" i="5"/>
  <c r="C12" i="5"/>
  <c r="C13" i="5"/>
  <c r="C14" i="5"/>
  <c r="C15" i="5"/>
  <c r="C16" i="5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D2" i="23"/>
  <c r="D21" i="23" l="1"/>
  <c r="D8" i="23"/>
  <c r="D20" i="23"/>
  <c r="D7" i="23"/>
  <c r="D32" i="23"/>
  <c r="D13" i="23"/>
  <c r="D12" i="23"/>
  <c r="D26" i="23"/>
  <c r="D24" i="23"/>
  <c r="D11" i="23"/>
  <c r="D23" i="23"/>
  <c r="D10" i="23"/>
  <c r="D25" i="23"/>
  <c r="D22" i="23"/>
  <c r="D9" i="23"/>
  <c r="D31" i="23"/>
  <c r="D19" i="23"/>
  <c r="D6" i="23"/>
  <c r="D30" i="23"/>
  <c r="D18" i="23"/>
  <c r="D5" i="23"/>
  <c r="D29" i="23"/>
  <c r="D16" i="23"/>
  <c r="D4" i="23"/>
  <c r="D28" i="23"/>
  <c r="D15" i="23"/>
  <c r="D3" i="23"/>
  <c r="D14" i="23"/>
  <c r="D27" i="23"/>
</calcChain>
</file>

<file path=xl/sharedStrings.xml><?xml version="1.0" encoding="utf-8"?>
<sst xmlns="http://schemas.openxmlformats.org/spreadsheetml/2006/main" count="515" uniqueCount="149">
  <si>
    <t>p01a</t>
  </si>
  <si>
    <t>Hafen/angrenzende Wohnviertel</t>
  </si>
  <si>
    <t>p01b</t>
  </si>
  <si>
    <t>Teile Südviertel (Friedr.-Ebert-Str.)</t>
  </si>
  <si>
    <t>p01c</t>
  </si>
  <si>
    <t>Teile Südviertel (Hammer Str.)</t>
  </si>
  <si>
    <t>p02a</t>
  </si>
  <si>
    <t>Teile Südviertel / teilw. Aasee</t>
  </si>
  <si>
    <t>p02b</t>
  </si>
  <si>
    <t>Innenstadt in Richtung Aasee</t>
  </si>
  <si>
    <t>p02c</t>
  </si>
  <si>
    <t>Innenstadt (Salzstr./Bremer Platz)</t>
  </si>
  <si>
    <t>p03a</t>
  </si>
  <si>
    <t>Innenstadt/Wolbecker Str.</t>
  </si>
  <si>
    <t>p03b</t>
  </si>
  <si>
    <t>Innenstadt/Warendorfer Str.</t>
  </si>
  <si>
    <t>p03c</t>
  </si>
  <si>
    <t>Mauritz-/Erpho-/Teile Kreuzviertel</t>
  </si>
  <si>
    <t>p04a</t>
  </si>
  <si>
    <t>Innenstadt (Prinzipalmarkt, etc.)</t>
  </si>
  <si>
    <t>p04b</t>
  </si>
  <si>
    <t>Teile Kreuzviertel</t>
  </si>
  <si>
    <t>p04c</t>
  </si>
  <si>
    <t>Teile Kreuzv./Friesenring/Grev. Str.</t>
  </si>
  <si>
    <t>p05c</t>
  </si>
  <si>
    <t>Nato Streitkräfte Nasag</t>
  </si>
  <si>
    <t>p05b</t>
  </si>
  <si>
    <t>Altstadt/Richtung Steinfurter Str.</t>
  </si>
  <si>
    <t>p06a</t>
  </si>
  <si>
    <t>Richt. Stehrweg/Grem., Agm.</t>
  </si>
  <si>
    <t>vobereitete 
Zählwerke</t>
  </si>
  <si>
    <t>Zählwerke 
per Karte</t>
  </si>
  <si>
    <t>Ablesungen
 per Karte</t>
  </si>
  <si>
    <t>Kartenquote</t>
  </si>
  <si>
    <t>Zählwerke 
per Ableser</t>
  </si>
  <si>
    <t>Abgelesene
Zählwerke</t>
  </si>
  <si>
    <t>Ableserquote</t>
  </si>
  <si>
    <t>geschätzte 
Zählwerke</t>
  </si>
  <si>
    <t>Datum geplante Schätzung</t>
  </si>
  <si>
    <t>Datum
finale
Schätzung</t>
  </si>
  <si>
    <t>Schätz-
quote</t>
  </si>
  <si>
    <t>Soll</t>
  </si>
  <si>
    <t>Schätzquote 
Durchschnitt</t>
  </si>
  <si>
    <t>Delay 
Schätztermin</t>
  </si>
  <si>
    <t>Portion</t>
  </si>
  <si>
    <t>Stadtbereich</t>
  </si>
  <si>
    <t>p07c</t>
  </si>
  <si>
    <t>Drensteinfurt/Rinkerode/Walstedde</t>
  </si>
  <si>
    <t>p08a</t>
  </si>
  <si>
    <t>Teile Geistviertel/Mecklenbeck</t>
  </si>
  <si>
    <t>p08b</t>
  </si>
  <si>
    <t>Gievenbeck/Teile Grevener Str.</t>
  </si>
  <si>
    <t>p09a</t>
  </si>
  <si>
    <t>Klinikum/Coerde/Kinderhaus</t>
  </si>
  <si>
    <t>p09b</t>
  </si>
  <si>
    <t>Hiltrup Ost</t>
  </si>
  <si>
    <t>p10a</t>
  </si>
  <si>
    <t>Hiltrup West</t>
  </si>
  <si>
    <t>p10b</t>
  </si>
  <si>
    <t>Amelsbüren, Albachten</t>
  </si>
  <si>
    <t>p10c</t>
  </si>
  <si>
    <t>Roxel</t>
  </si>
  <si>
    <t>p11a</t>
  </si>
  <si>
    <t>Nienberge</t>
  </si>
  <si>
    <t>p11b</t>
  </si>
  <si>
    <t>Wolbeck</t>
  </si>
  <si>
    <t>p11c</t>
  </si>
  <si>
    <t>Handorf</t>
  </si>
  <si>
    <t>p12c</t>
  </si>
  <si>
    <t>St. Mauritz (Außenbereich)</t>
  </si>
  <si>
    <t>p12a</t>
  </si>
  <si>
    <t>Stadt Münster/sonst. Ämter</t>
  </si>
  <si>
    <t>p12e</t>
  </si>
  <si>
    <t>Eigenverbrauch Stadtwerke</t>
  </si>
  <si>
    <t>p12_eeg</t>
  </si>
  <si>
    <t>EEG-Anlagen</t>
  </si>
  <si>
    <t>Dashboard</t>
  </si>
  <si>
    <t>Stand
(Datum)</t>
  </si>
  <si>
    <t>Schätzquote</t>
  </si>
  <si>
    <t>vorbereitete
Zählwerke</t>
  </si>
  <si>
    <t>Differenz</t>
  </si>
  <si>
    <t>abgelesene Zählwerke</t>
  </si>
  <si>
    <t>KW02</t>
  </si>
  <si>
    <t>Kalenderwoche</t>
  </si>
  <si>
    <t>Datum</t>
  </si>
  <si>
    <t>KW03</t>
  </si>
  <si>
    <t>KW04</t>
  </si>
  <si>
    <t>geschätzte
Zählwerke</t>
  </si>
  <si>
    <t>Durchschnitt</t>
  </si>
  <si>
    <t>KW05</t>
  </si>
  <si>
    <t>KW06</t>
  </si>
  <si>
    <t>KW07</t>
  </si>
  <si>
    <t>KW08</t>
  </si>
  <si>
    <t>KW09</t>
  </si>
  <si>
    <t>KW10</t>
  </si>
  <si>
    <t>KW11</t>
  </si>
  <si>
    <t>KW12</t>
  </si>
  <si>
    <t>KW13</t>
  </si>
  <si>
    <t>KW14</t>
  </si>
  <si>
    <t>KW15</t>
  </si>
  <si>
    <t>KW16</t>
  </si>
  <si>
    <t>KW17</t>
  </si>
  <si>
    <t>KW18</t>
  </si>
  <si>
    <t>KW19</t>
  </si>
  <si>
    <t>KW20</t>
  </si>
  <si>
    <t>KW21</t>
  </si>
  <si>
    <t>KW22</t>
  </si>
  <si>
    <t>KW23</t>
  </si>
  <si>
    <t>KW24</t>
  </si>
  <si>
    <t>KW25</t>
  </si>
  <si>
    <t>KW26</t>
  </si>
  <si>
    <t>KW27</t>
  </si>
  <si>
    <t>KW30</t>
  </si>
  <si>
    <t>KW31</t>
  </si>
  <si>
    <t>KW32</t>
  </si>
  <si>
    <t>KW33</t>
  </si>
  <si>
    <t>KW34</t>
  </si>
  <si>
    <t>KW35</t>
  </si>
  <si>
    <t>KW36</t>
  </si>
  <si>
    <t>KW37</t>
  </si>
  <si>
    <t>KW38</t>
  </si>
  <si>
    <t>KW39</t>
  </si>
  <si>
    <t>KW40</t>
  </si>
  <si>
    <t>KW41</t>
  </si>
  <si>
    <t>KW42</t>
  </si>
  <si>
    <t>KW43</t>
  </si>
  <si>
    <t>KW44</t>
  </si>
  <si>
    <t>KW45</t>
  </si>
  <si>
    <t>KW46</t>
  </si>
  <si>
    <t>KW47</t>
  </si>
  <si>
    <t>KW48</t>
  </si>
  <si>
    <t>KW49</t>
  </si>
  <si>
    <t>KW50</t>
  </si>
  <si>
    <t>KW51</t>
  </si>
  <si>
    <t>Rückgang</t>
  </si>
  <si>
    <t>Summe/Schnitt</t>
  </si>
  <si>
    <t>Schätzquote 2024</t>
  </si>
  <si>
    <t>Zählwerke 2024</t>
  </si>
  <si>
    <t>geschätzt 2024</t>
  </si>
  <si>
    <t>Grund Delay Schätztermin</t>
  </si>
  <si>
    <t>KW52</t>
  </si>
  <si>
    <t>KW53</t>
  </si>
  <si>
    <t>Zählwerke 2025</t>
  </si>
  <si>
    <t>geschätzt 2025</t>
  </si>
  <si>
    <t>Schätzquote 2025</t>
  </si>
  <si>
    <t>KW01</t>
  </si>
  <si>
    <t xml:space="preserve"> </t>
  </si>
  <si>
    <t>2024 / 2025</t>
  </si>
  <si>
    <t>Termin zur Schätzung aufgrund hohem Arbeitsaufkommen 
übersehen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</si>
</sst>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1"/>
      <color theme="1"/>
      <name val="Arial"/>
      <family val="2"/>
    </font>
    <font>
      <i/>
      <sz val="11"/>
      <color theme="1"/>
      <name val="Arial"/>
      <family val="2"/>
    </font>
    <font>
      <b/>
      <sz val="11"/>
      <color rgb="FFFF0000"/>
      <name val="Arial"/>
      <family val="2"/>
    </font>
    <font>
      <b/>
      <sz val="11"/>
      <name val="Arial"/>
      <family val="2"/>
    </font>
    <font>
      <b/>
      <sz val="12"/>
      <color theme="0"/>
      <name val="Arial"/>
      <family val="2"/>
    </font>
    <font>
      <sz val="48"/>
      <color theme="1"/>
      <name val="Arial"/>
      <family val="2"/>
    </font>
    <font>
      <b/>
      <sz val="11"/>
      <color theme="0"/>
      <name val="Arial"/>
      <family val="2"/>
    </font>
    <font>
      <sz val="8"/>
      <name val="Arial"/>
      <family val="2"/>
    </font>
    <font>
      <sz val="24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/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7">
    <xf numFmtId="0" fontId="0" fillId="0" borderId="0" xfId="0"/>
    <xf numFmtId="0" fontId="0" fillId="2" borderId="1" xfId="0" applyFill="1" applyBorder="1"/>
    <xf numFmtId="3" fontId="4" fillId="2" borderId="1" xfId="0" applyNumberFormat="1" applyFont="1" applyFill="1" applyBorder="1" applyAlignment="1">
      <alignment horizontal="center"/>
    </xf>
    <xf numFmtId="3" fontId="5" fillId="2" borderId="1" xfId="0" applyNumberFormat="1" applyFont="1" applyFill="1" applyBorder="1" applyAlignment="1">
      <alignment horizontal="center"/>
    </xf>
    <xf numFmtId="10" fontId="3" fillId="2" borderId="1" xfId="1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1" applyNumberFormat="1" applyFont="1" applyFill="1" applyBorder="1" applyAlignment="1">
      <alignment horizontal="center"/>
    </xf>
    <xf numFmtId="0" fontId="0" fillId="0" borderId="1" xfId="0" applyBorder="1"/>
    <xf numFmtId="3" fontId="4" fillId="0" borderId="1" xfId="0" applyNumberFormat="1" applyFont="1" applyBorder="1" applyAlignment="1">
      <alignment horizontal="center"/>
    </xf>
    <xf numFmtId="3" fontId="5" fillId="0" borderId="1" xfId="0" applyNumberFormat="1" applyFont="1" applyBorder="1" applyAlignment="1">
      <alignment horizontal="center"/>
    </xf>
    <xf numFmtId="10" fontId="6" fillId="0" borderId="1" xfId="0" applyNumberFormat="1" applyFon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10" fontId="0" fillId="0" borderId="1" xfId="1" applyNumberFormat="1" applyFont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0" fillId="2" borderId="2" xfId="0" applyFill="1" applyBorder="1"/>
    <xf numFmtId="3" fontId="4" fillId="2" borderId="2" xfId="0" applyNumberFormat="1" applyFont="1" applyFill="1" applyBorder="1" applyAlignment="1">
      <alignment horizontal="center"/>
    </xf>
    <xf numFmtId="3" fontId="5" fillId="2" borderId="2" xfId="0" applyNumberFormat="1" applyFont="1" applyFill="1" applyBorder="1" applyAlignment="1">
      <alignment horizontal="center"/>
    </xf>
    <xf numFmtId="3" fontId="0" fillId="2" borderId="2" xfId="0" applyNumberFormat="1" applyFill="1" applyBorder="1" applyAlignment="1">
      <alignment horizontal="center"/>
    </xf>
    <xf numFmtId="10" fontId="0" fillId="2" borderId="2" xfId="1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7" fillId="3" borderId="3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 wrapText="1"/>
    </xf>
    <xf numFmtId="10" fontId="2" fillId="0" borderId="1" xfId="1" applyNumberFormat="1" applyFont="1" applyBorder="1" applyAlignment="1">
      <alignment horizontal="center"/>
    </xf>
    <xf numFmtId="10" fontId="2" fillId="2" borderId="2" xfId="1" applyNumberFormat="1" applyFont="1" applyFill="1" applyBorder="1" applyAlignment="1">
      <alignment horizontal="center"/>
    </xf>
    <xf numFmtId="10" fontId="2" fillId="2" borderId="1" xfId="1" applyNumberFormat="1" applyFont="1" applyFill="1" applyBorder="1" applyAlignment="1">
      <alignment horizontal="center"/>
    </xf>
    <xf numFmtId="10" fontId="6" fillId="0" borderId="1" xfId="1" applyNumberFormat="1" applyFont="1" applyBorder="1" applyAlignment="1">
      <alignment horizontal="center"/>
    </xf>
    <xf numFmtId="10" fontId="6" fillId="2" borderId="2" xfId="1" applyNumberFormat="1" applyFont="1" applyFill="1" applyBorder="1" applyAlignment="1">
      <alignment horizontal="center"/>
    </xf>
    <xf numFmtId="3" fontId="0" fillId="0" borderId="0" xfId="0" applyNumberFormat="1"/>
    <xf numFmtId="3" fontId="1" fillId="0" borderId="1" xfId="1" applyNumberFormat="1" applyFont="1" applyBorder="1" applyAlignment="1">
      <alignment horizontal="center"/>
    </xf>
    <xf numFmtId="3" fontId="1" fillId="2" borderId="2" xfId="1" applyNumberFormat="1" applyFont="1" applyFill="1" applyBorder="1" applyAlignment="1">
      <alignment horizontal="center"/>
    </xf>
    <xf numFmtId="10" fontId="6" fillId="2" borderId="1" xfId="1" applyNumberFormat="1" applyFont="1" applyFill="1" applyBorder="1" applyAlignment="1">
      <alignment horizontal="center"/>
    </xf>
    <xf numFmtId="10" fontId="2" fillId="0" borderId="1" xfId="1" applyNumberFormat="1" applyFont="1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4" fontId="0" fillId="2" borderId="2" xfId="0" applyNumberFormat="1" applyFill="1" applyBorder="1" applyAlignment="1">
      <alignment horizontal="center"/>
    </xf>
    <xf numFmtId="10" fontId="0" fillId="0" borderId="0" xfId="0" applyNumberFormat="1"/>
    <xf numFmtId="0" fontId="0" fillId="0" borderId="0" xfId="0" applyAlignment="1">
      <alignment wrapText="1"/>
    </xf>
    <xf numFmtId="14" fontId="4" fillId="2" borderId="1" xfId="0" applyNumberFormat="1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2" borderId="7" xfId="0" applyFill="1" applyBorder="1"/>
    <xf numFmtId="10" fontId="2" fillId="2" borderId="8" xfId="1" applyNumberFormat="1" applyFont="1" applyFill="1" applyBorder="1" applyAlignment="1">
      <alignment horizontal="center"/>
    </xf>
    <xf numFmtId="3" fontId="0" fillId="0" borderId="5" xfId="0" applyNumberFormat="1" applyBorder="1"/>
    <xf numFmtId="10" fontId="0" fillId="2" borderId="6" xfId="1" applyNumberFormat="1" applyFont="1" applyFill="1" applyBorder="1" applyAlignment="1">
      <alignment horizontal="center"/>
    </xf>
    <xf numFmtId="10" fontId="0" fillId="0" borderId="6" xfId="1" applyNumberFormat="1" applyFont="1" applyBorder="1" applyAlignment="1">
      <alignment horizontal="center"/>
    </xf>
    <xf numFmtId="0" fontId="7" fillId="3" borderId="9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0" fillId="2" borderId="11" xfId="0" applyFill="1" applyBorder="1"/>
    <xf numFmtId="3" fontId="4" fillId="2" borderId="8" xfId="0" applyNumberFormat="1" applyFont="1" applyFill="1" applyBorder="1" applyAlignment="1">
      <alignment horizontal="center"/>
    </xf>
    <xf numFmtId="10" fontId="0" fillId="2" borderId="12" xfId="1" applyNumberFormat="1" applyFont="1" applyFill="1" applyBorder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7" fillId="3" borderId="13" xfId="0" applyFont="1" applyFill="1" applyBorder="1" applyAlignment="1">
      <alignment horizontal="center" vertical="center"/>
    </xf>
    <xf numFmtId="1" fontId="0" fillId="0" borderId="0" xfId="1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9" fontId="0" fillId="0" borderId="0" xfId="1" applyFont="1"/>
    <xf numFmtId="10" fontId="0" fillId="0" borderId="0" xfId="1" applyNumberFormat="1" applyFont="1"/>
    <xf numFmtId="0" fontId="9" fillId="3" borderId="6" xfId="0" applyFont="1" applyFill="1" applyBorder="1"/>
    <xf numFmtId="0" fontId="9" fillId="3" borderId="14" xfId="0" applyFont="1" applyFill="1" applyBorder="1"/>
    <xf numFmtId="0" fontId="9" fillId="3" borderId="7" xfId="0" applyFont="1" applyFill="1" applyBorder="1"/>
    <xf numFmtId="0" fontId="0" fillId="2" borderId="6" xfId="0" applyFill="1" applyBorder="1"/>
    <xf numFmtId="0" fontId="0" fillId="0" borderId="6" xfId="0" applyBorder="1"/>
    <xf numFmtId="0" fontId="9" fillId="3" borderId="14" xfId="0" applyFont="1" applyFill="1" applyBorder="1" applyAlignment="1">
      <alignment wrapText="1"/>
    </xf>
    <xf numFmtId="3" fontId="0" fillId="2" borderId="14" xfId="0" applyNumberFormat="1" applyFill="1" applyBorder="1"/>
    <xf numFmtId="10" fontId="0" fillId="2" borderId="7" xfId="0" applyNumberFormat="1" applyFill="1" applyBorder="1"/>
    <xf numFmtId="3" fontId="0" fillId="0" borderId="14" xfId="0" applyNumberFormat="1" applyBorder="1"/>
    <xf numFmtId="10" fontId="0" fillId="0" borderId="7" xfId="0" applyNumberFormat="1" applyBorder="1"/>
    <xf numFmtId="10" fontId="0" fillId="0" borderId="5" xfId="0" applyNumberFormat="1" applyBorder="1"/>
    <xf numFmtId="10" fontId="0" fillId="0" borderId="0" xfId="0" applyNumberFormat="1" applyAlignment="1">
      <alignment horizontal="right"/>
    </xf>
    <xf numFmtId="3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10" fontId="0" fillId="0" borderId="0" xfId="0" applyNumberFormat="1" applyAlignment="1">
      <alignment horizontal="center"/>
    </xf>
    <xf numFmtId="1" fontId="0" fillId="2" borderId="1" xfId="1" applyNumberFormat="1" applyFont="1" applyFill="1" applyBorder="1" applyAlignment="1">
      <alignment horizontal="center"/>
    </xf>
    <xf numFmtId="1" fontId="0" fillId="0" borderId="1" xfId="1" applyNumberFormat="1" applyFont="1" applyBorder="1" applyAlignment="1">
      <alignment horizontal="center"/>
    </xf>
    <xf numFmtId="1" fontId="0" fillId="2" borderId="2" xfId="1" applyNumberFormat="1" applyFont="1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2" fontId="0" fillId="2" borderId="2" xfId="0" applyNumberFormat="1" applyFill="1" applyBorder="1"/>
    <xf numFmtId="14" fontId="4" fillId="2" borderId="15" xfId="0" applyNumberFormat="1" applyFont="1" applyFill="1" applyBorder="1" applyAlignment="1">
      <alignment horizontal="center"/>
    </xf>
    <xf numFmtId="10" fontId="0" fillId="0" borderId="17" xfId="1" applyNumberFormat="1" applyFont="1" applyBorder="1" applyAlignment="1">
      <alignment horizontal="center"/>
    </xf>
    <xf numFmtId="10" fontId="0" fillId="2" borderId="16" xfId="1" applyNumberFormat="1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10" fontId="0" fillId="0" borderId="0" xfId="1" applyNumberFormat="1" applyFont="1" applyAlignment="1">
      <alignment horizontal="right"/>
    </xf>
    <xf numFmtId="0" fontId="8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11" fillId="0" borderId="0" xfId="0" applyFont="1" applyAlignment="1">
      <alignment horizontal="center"/>
    </xf>
  </cellXfs>
  <cellStyles count="2">
    <cellStyle name="Prozent" xfId="1" builtinId="5"/>
    <cellStyle name="Standard" xfId="0" builtinId="0"/>
  </cellStyles>
  <dxfs count="210"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14" formatCode="0.00%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14" formatCode="0.00%"/>
      <alignment horizontal="right" vertical="bottom" textRotation="0" wrapText="0" indent="0" justifyLastLine="0" shrinkToFit="0" readingOrder="0"/>
    </dxf>
    <dxf>
      <numFmt numFmtId="14" formatCode="0.00%"/>
      <alignment horizontal="right" vertical="bottom" textRotation="0" wrapText="0" indent="0" justifyLastLine="0" shrinkToFit="0" readingOrder="0"/>
    </dxf>
    <dxf>
      <numFmt numFmtId="14" formatCode="0.00%"/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14" formatCode="0.00%"/>
      <alignment horizontal="right" vertical="bottom" textRotation="0" wrapText="0" indent="0" justifyLastLine="0" shrinkToFit="0" readingOrder="0"/>
    </dxf>
    <dxf>
      <numFmt numFmtId="14" formatCode="0.00%"/>
      <alignment horizontal="right" vertical="bottom" textRotation="0" wrapText="0" indent="0" justifyLastLine="0" shrinkToFit="0" readingOrder="0"/>
    </dxf>
    <dxf>
      <numFmt numFmtId="14" formatCode="0.00%"/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4" formatCode="0.00%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"/>
        <family val="2"/>
        <scheme val="none"/>
      </font>
      <numFmt numFmtId="14" formatCode="0.00%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" formatCode="#,##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medium">
          <color theme="1"/>
        </top>
        <bottom style="medium">
          <color theme="1"/>
        </bottom>
      </border>
    </dxf>
    <dxf>
      <border outline="0">
        <bottom style="medium">
          <color theme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4" formatCode="0.00%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"/>
        <family val="2"/>
        <scheme val="none"/>
      </font>
      <numFmt numFmtId="14" formatCode="0.00%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3" formatCode="#,##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medium">
          <color theme="1"/>
        </top>
        <bottom style="medium">
          <color theme="1"/>
        </bottom>
      </border>
    </dxf>
    <dxf>
      <border outline="0">
        <bottom style="medium">
          <color theme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numFmt numFmtId="14" formatCode="0.00%"/>
    </dxf>
    <dxf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4" formatCode="0.00%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4" formatCode="0.00%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numFmt numFmtId="3" formatCode="#,##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"/>
        <family val="2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"/>
        <family val="2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numFmt numFmtId="3" formatCode="#,##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 outline="0">
        <top style="medium">
          <color theme="1"/>
        </top>
        <bottom style="medium">
          <color theme="1"/>
        </bottom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Gesamtübersicht!$Q$1</c:f>
              <c:strCache>
                <c:ptCount val="1"/>
                <c:pt idx="0">
                  <c:v>Delay 
Schätztermin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(Gesamtübersicht!$A$2:$A$16,Gesamtübersicht!$A$18:$A$32)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Gesamtübersicht!$Q$2:$Q$32</c15:sqref>
                  </c15:fullRef>
                </c:ext>
              </c:extLst>
              <c:f>(Gesamtübersicht!$Q$2:$Q$16,Gesamtübersicht!$Q$18:$Q$32)</c:f>
              <c:numCache>
                <c:formatCode>0</c:formatCode>
                <c:ptCount val="30"/>
                <c:pt idx="0">
                  <c:v>3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11</c:v>
                </c:pt>
                <c:pt idx="13">
                  <c:v>10</c:v>
                </c:pt>
                <c:pt idx="14">
                  <c:v>0</c:v>
                </c:pt>
                <c:pt idx="15">
                  <c:v>0</c:v>
                </c:pt>
                <c:pt idx="16" formatCode="General">
                  <c:v>0</c:v>
                </c:pt>
                <c:pt idx="17">
                  <c:v>0</c:v>
                </c:pt>
                <c:pt idx="18" formatCode="General">
                  <c:v>0</c:v>
                </c:pt>
                <c:pt idx="19">
                  <c:v>0</c:v>
                </c:pt>
                <c:pt idx="20" formatCode="General">
                  <c:v>0</c:v>
                </c:pt>
                <c:pt idx="21">
                  <c:v>0</c:v>
                </c:pt>
                <c:pt idx="22" formatCode="General">
                  <c:v>0</c:v>
                </c:pt>
                <c:pt idx="23">
                  <c:v>0</c:v>
                </c:pt>
                <c:pt idx="24" formatCode="General">
                  <c:v>0</c:v>
                </c:pt>
                <c:pt idx="25">
                  <c:v>0</c:v>
                </c:pt>
                <c:pt idx="26" formatCode="General">
                  <c:v>0</c:v>
                </c:pt>
                <c:pt idx="27">
                  <c:v>0</c:v>
                </c:pt>
                <c:pt idx="28" formatCode="General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49-46AB-9157-9536DE00B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4527855"/>
        <c:axId val="1425039247"/>
      </c:lineChart>
      <c:catAx>
        <c:axId val="156452785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25039247"/>
        <c:crosses val="autoZero"/>
        <c:auto val="1"/>
        <c:lblAlgn val="ctr"/>
        <c:lblOffset val="100"/>
        <c:noMultiLvlLbl val="0"/>
      </c:catAx>
      <c:valAx>
        <c:axId val="142503924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6452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aktuelle Schätzquote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Gesamtübersicht!$N$1</c:f>
              <c:strCache>
                <c:ptCount val="1"/>
                <c:pt idx="0">
                  <c:v>Schätz-
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(Gesamtübersicht!$A$2:$A$16,Gesamtübersicht!$A$18:$A$32)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Gesamtübersicht!$N$2:$N$32</c15:sqref>
                  </c15:fullRef>
                </c:ext>
              </c:extLst>
              <c:f>(Gesamtübersicht!$N$2:$N$16,Gesamtübersicht!$N$18:$N$32)</c:f>
              <c:numCache>
                <c:formatCode>0.00%</c:formatCode>
                <c:ptCount val="30"/>
                <c:pt idx="0">
                  <c:v>4.2462533059065527E-2</c:v>
                </c:pt>
                <c:pt idx="1">
                  <c:v>2.5875190258751901E-2</c:v>
                </c:pt>
                <c:pt idx="2">
                  <c:v>3.0693981711207203E-2</c:v>
                </c:pt>
                <c:pt idx="3">
                  <c:v>3.301195526417277E-2</c:v>
                </c:pt>
                <c:pt idx="4">
                  <c:v>2.8694250403009134E-2</c:v>
                </c:pt>
                <c:pt idx="5">
                  <c:v>3.0957755562721703E-2</c:v>
                </c:pt>
                <c:pt idx="6">
                  <c:v>3.0474134351905671E-2</c:v>
                </c:pt>
                <c:pt idx="7">
                  <c:v>3.2678723899712797E-2</c:v>
                </c:pt>
                <c:pt idx="8">
                  <c:v>3.3938251237332073E-2</c:v>
                </c:pt>
                <c:pt idx="9">
                  <c:v>3.1723526805494021E-2</c:v>
                </c:pt>
                <c:pt idx="10">
                  <c:v>4.208955223880597E-2</c:v>
                </c:pt>
                <c:pt idx="11">
                  <c:v>3.9781972014318254E-2</c:v>
                </c:pt>
                <c:pt idx="12">
                  <c:v>4.584592836859943E-2</c:v>
                </c:pt>
                <c:pt idx="13">
                  <c:v>0.2013888888888889</c:v>
                </c:pt>
                <c:pt idx="14">
                  <c:v>4.005737117098658E-2</c:v>
                </c:pt>
                <c:pt idx="15">
                  <c:v>7.3076923076923081E-2</c:v>
                </c:pt>
                <c:pt idx="16">
                  <c:v>0.14690121155638397</c:v>
                </c:pt>
                <c:pt idx="17">
                  <c:v>0.4991692380726323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C5-4A0C-8C50-65296EA2BDFF}"/>
            </c:ext>
          </c:extLst>
        </c:ser>
        <c:ser>
          <c:idx val="1"/>
          <c:order val="1"/>
          <c:tx>
            <c:strRef>
              <c:f>Gesamtübersicht!$O$1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(Gesamtübersicht!$A$2:$A$16,Gesamtübersicht!$A$18:$A$32)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Gesamtübersicht!$O$2:$O$32</c15:sqref>
                  </c15:fullRef>
                </c:ext>
              </c:extLst>
              <c:f>(Gesamtübersicht!$O$2:$O$16,Gesamtübersicht!$O$18:$O$32)</c:f>
              <c:numCache>
                <c:formatCode>0.00%</c:formatCode>
                <c:ptCount val="30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0.02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C5-4A0C-8C50-65296EA2BDF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0217040"/>
        <c:axId val="130220784"/>
      </c:lineChart>
      <c:catAx>
        <c:axId val="13021704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0220784"/>
        <c:crosses val="autoZero"/>
        <c:auto val="1"/>
        <c:lblAlgn val="ctr"/>
        <c:lblOffset val="100"/>
        <c:noMultiLvlLbl val="0"/>
      </c:catAx>
      <c:valAx>
        <c:axId val="130220784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0217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Anzahl abgelesener Zählwerke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'Ablesewerte je Portion'!$B$1</c:f>
              <c:strCache>
                <c:ptCount val="1"/>
                <c:pt idx="0">
                  <c:v>vorbereitete
Zählwerke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'Ablesewerte je Portion'!$A$2:$A$31</c15:sqref>
                  </c15:fullRef>
                </c:ext>
              </c:extLst>
              <c:f>'Ablesewerte je Portion'!$A$2:$A$20</c:f>
              <c:strCache>
                <c:ptCount val="19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'Ablesewerte je Portion'!$B$2:$B$31</c15:sqref>
                  </c15:fullRef>
                </c:ext>
              </c:extLst>
              <c:f>'Ablesewerte je Portion'!$B$2:$B$20</c:f>
              <c:numCache>
                <c:formatCode>#,##0</c:formatCode>
                <c:ptCount val="19"/>
                <c:pt idx="0">
                  <c:v>13612</c:v>
                </c:pt>
                <c:pt idx="1">
                  <c:v>11169</c:v>
                </c:pt>
                <c:pt idx="2">
                  <c:v>14107</c:v>
                </c:pt>
                <c:pt idx="3">
                  <c:v>12965</c:v>
                </c:pt>
                <c:pt idx="4">
                  <c:v>9305</c:v>
                </c:pt>
                <c:pt idx="5">
                  <c:v>9303</c:v>
                </c:pt>
                <c:pt idx="6">
                  <c:v>12043</c:v>
                </c:pt>
                <c:pt idx="7">
                  <c:v>12883</c:v>
                </c:pt>
                <c:pt idx="8">
                  <c:v>12729</c:v>
                </c:pt>
                <c:pt idx="9">
                  <c:v>11285</c:v>
                </c:pt>
                <c:pt idx="10">
                  <c:v>10050</c:v>
                </c:pt>
                <c:pt idx="11">
                  <c:v>12292</c:v>
                </c:pt>
                <c:pt idx="12">
                  <c:v>21834</c:v>
                </c:pt>
                <c:pt idx="13">
                  <c:v>144</c:v>
                </c:pt>
                <c:pt idx="14">
                  <c:v>29283</c:v>
                </c:pt>
                <c:pt idx="15">
                  <c:v>2860</c:v>
                </c:pt>
                <c:pt idx="16">
                  <c:v>17168</c:v>
                </c:pt>
                <c:pt idx="17">
                  <c:v>25278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91-441B-9457-BE14062526B0}"/>
            </c:ext>
          </c:extLst>
        </c:ser>
        <c:ser>
          <c:idx val="1"/>
          <c:order val="1"/>
          <c:tx>
            <c:strRef>
              <c:f>'Ablesewerte je Portion'!$C$1</c:f>
              <c:strCache>
                <c:ptCount val="1"/>
                <c:pt idx="0">
                  <c:v>abgelesene Zählwerke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'Ablesewerte je Portion'!$A$2:$A$31</c15:sqref>
                  </c15:fullRef>
                </c:ext>
              </c:extLst>
              <c:f>'Ablesewerte je Portion'!$A$2:$A$20</c:f>
              <c:strCache>
                <c:ptCount val="19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'Ablesewerte je Portion'!$C$2:$C$31</c15:sqref>
                  </c15:fullRef>
                </c:ext>
              </c:extLst>
              <c:f>'Ablesewerte je Portion'!$C$2:$C$20</c:f>
              <c:numCache>
                <c:formatCode>#,##0</c:formatCode>
                <c:ptCount val="19"/>
                <c:pt idx="0">
                  <c:v>12923</c:v>
                </c:pt>
                <c:pt idx="1">
                  <c:v>10843</c:v>
                </c:pt>
                <c:pt idx="2">
                  <c:v>13452</c:v>
                </c:pt>
                <c:pt idx="3">
                  <c:v>12468</c:v>
                </c:pt>
                <c:pt idx="4">
                  <c:v>9020</c:v>
                </c:pt>
                <c:pt idx="5">
                  <c:v>9000</c:v>
                </c:pt>
                <c:pt idx="6">
                  <c:v>11660</c:v>
                </c:pt>
                <c:pt idx="7">
                  <c:v>12430</c:v>
                </c:pt>
                <c:pt idx="8">
                  <c:v>12279</c:v>
                </c:pt>
                <c:pt idx="9">
                  <c:v>10849</c:v>
                </c:pt>
                <c:pt idx="10">
                  <c:v>9604</c:v>
                </c:pt>
                <c:pt idx="11">
                  <c:v>11723</c:v>
                </c:pt>
                <c:pt idx="12">
                  <c:v>20543</c:v>
                </c:pt>
                <c:pt idx="13">
                  <c:v>119</c:v>
                </c:pt>
                <c:pt idx="14">
                  <c:v>27846</c:v>
                </c:pt>
                <c:pt idx="15">
                  <c:v>2651</c:v>
                </c:pt>
                <c:pt idx="16">
                  <c:v>14646</c:v>
                </c:pt>
                <c:pt idx="17">
                  <c:v>12660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91-441B-9457-BE14062526B0}"/>
            </c:ext>
          </c:extLst>
        </c:ser>
        <c:ser>
          <c:idx val="2"/>
          <c:order val="2"/>
          <c:tx>
            <c:strRef>
              <c:f>'Ablesewerte je Portion'!$D$1</c:f>
              <c:strCache>
                <c:ptCount val="1"/>
                <c:pt idx="0">
                  <c:v>Differenz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'Ablesewerte je Portion'!$A$2:$A$31</c15:sqref>
                  </c15:fullRef>
                </c:ext>
              </c:extLst>
              <c:f>'Ablesewerte je Portion'!$A$2:$A$20</c:f>
              <c:strCache>
                <c:ptCount val="19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'Ablesewerte je Portion'!$D$2:$D$31</c15:sqref>
                  </c15:fullRef>
                </c:ext>
              </c:extLst>
              <c:f>'Ablesewerte je Portion'!$D$2:$D$20</c:f>
              <c:numCache>
                <c:formatCode>#,##0</c:formatCode>
                <c:ptCount val="19"/>
                <c:pt idx="0">
                  <c:v>689</c:v>
                </c:pt>
                <c:pt idx="1">
                  <c:v>326</c:v>
                </c:pt>
                <c:pt idx="2">
                  <c:v>655</c:v>
                </c:pt>
                <c:pt idx="3">
                  <c:v>497</c:v>
                </c:pt>
                <c:pt idx="4">
                  <c:v>285</c:v>
                </c:pt>
                <c:pt idx="5">
                  <c:v>303</c:v>
                </c:pt>
                <c:pt idx="6">
                  <c:v>383</c:v>
                </c:pt>
                <c:pt idx="7">
                  <c:v>453</c:v>
                </c:pt>
                <c:pt idx="8">
                  <c:v>450</c:v>
                </c:pt>
                <c:pt idx="9">
                  <c:v>436</c:v>
                </c:pt>
                <c:pt idx="10">
                  <c:v>446</c:v>
                </c:pt>
                <c:pt idx="11">
                  <c:v>569</c:v>
                </c:pt>
                <c:pt idx="12">
                  <c:v>1291</c:v>
                </c:pt>
                <c:pt idx="13">
                  <c:v>25</c:v>
                </c:pt>
                <c:pt idx="14">
                  <c:v>1437</c:v>
                </c:pt>
                <c:pt idx="15">
                  <c:v>209</c:v>
                </c:pt>
                <c:pt idx="16">
                  <c:v>2522</c:v>
                </c:pt>
                <c:pt idx="17">
                  <c:v>12618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91-441B-9457-BE1406252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619900031"/>
        <c:axId val="619883807"/>
      </c:barChart>
      <c:lineChart>
        <c:grouping val="stacked"/>
        <c:varyColors val="0"/>
        <c:ser>
          <c:idx val="3"/>
          <c:order val="3"/>
          <c:tx>
            <c:strRef>
              <c:f>'Ablesewerte je Portion'!$E$1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'Ablesewerte je Portion'!$A$2:$A$31</c15:sqref>
                  </c15:fullRef>
                </c:ext>
              </c:extLst>
              <c:f>'Ablesewerte je Portion'!$A$2:$A$20</c:f>
              <c:strCache>
                <c:ptCount val="19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'Ablesewerte je Portion'!$E$2:$E$31</c15:sqref>
                  </c15:fullRef>
                </c:ext>
              </c:extLst>
              <c:f>'Ablesewerte je Portion'!$E$2:$E$20</c:f>
              <c:numCache>
                <c:formatCode>0.00%</c:formatCode>
                <c:ptCount val="19"/>
                <c:pt idx="0">
                  <c:v>4.2462533059065527E-2</c:v>
                </c:pt>
                <c:pt idx="1">
                  <c:v>2.5875190258751901E-2</c:v>
                </c:pt>
                <c:pt idx="2">
                  <c:v>3.0693981711207203E-2</c:v>
                </c:pt>
                <c:pt idx="3">
                  <c:v>3.301195526417277E-2</c:v>
                </c:pt>
                <c:pt idx="4">
                  <c:v>2.8694250403009134E-2</c:v>
                </c:pt>
                <c:pt idx="5">
                  <c:v>3.0957755562721703E-2</c:v>
                </c:pt>
                <c:pt idx="6">
                  <c:v>3.0474134351905671E-2</c:v>
                </c:pt>
                <c:pt idx="7">
                  <c:v>3.2678723899712797E-2</c:v>
                </c:pt>
                <c:pt idx="8">
                  <c:v>3.3938251237332073E-2</c:v>
                </c:pt>
                <c:pt idx="9">
                  <c:v>3.1723526805494021E-2</c:v>
                </c:pt>
                <c:pt idx="10">
                  <c:v>4.208955223880597E-2</c:v>
                </c:pt>
                <c:pt idx="11">
                  <c:v>3.9781972014318254E-2</c:v>
                </c:pt>
                <c:pt idx="12">
                  <c:v>4.584592836859943E-2</c:v>
                </c:pt>
                <c:pt idx="13">
                  <c:v>0.2013888888888889</c:v>
                </c:pt>
                <c:pt idx="14">
                  <c:v>4.005737117098658E-2</c:v>
                </c:pt>
                <c:pt idx="15">
                  <c:v>7.3076923076923081E-2</c:v>
                </c:pt>
                <c:pt idx="16">
                  <c:v>0.14690121155638397</c:v>
                </c:pt>
                <c:pt idx="17">
                  <c:v>0.4991692380726323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91-441B-9457-BE1406252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491039"/>
        <c:axId val="499417279"/>
      </c:lineChart>
      <c:catAx>
        <c:axId val="619900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9883807"/>
        <c:crosses val="autoZero"/>
        <c:auto val="1"/>
        <c:lblAlgn val="ctr"/>
        <c:lblOffset val="100"/>
        <c:noMultiLvlLbl val="0"/>
      </c:catAx>
      <c:valAx>
        <c:axId val="619883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9900031"/>
        <c:crosses val="autoZero"/>
        <c:crossBetween val="between"/>
      </c:valAx>
      <c:valAx>
        <c:axId val="499417279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4491039"/>
        <c:crosses val="max"/>
        <c:crossBetween val="between"/>
      </c:valAx>
      <c:catAx>
        <c:axId val="4444910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94172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finale Schätzquote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Gesamtübersicht!$N$1</c:f>
              <c:strCache>
                <c:ptCount val="1"/>
                <c:pt idx="0">
                  <c:v>Schätz-
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(Gesamtübersicht!$A$2:$A$16,Gesamtübersicht!$A$18)</c:f>
              <c:strCache>
                <c:ptCount val="16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Gesamtübersicht!$N$2:$N$32</c15:sqref>
                  </c15:fullRef>
                </c:ext>
              </c:extLst>
              <c:f>(Gesamtübersicht!$N$2:$N$16,Gesamtübersicht!$N$18)</c:f>
              <c:numCache>
                <c:formatCode>0.00%</c:formatCode>
                <c:ptCount val="16"/>
                <c:pt idx="0">
                  <c:v>4.2462533059065527E-2</c:v>
                </c:pt>
                <c:pt idx="1">
                  <c:v>2.5875190258751901E-2</c:v>
                </c:pt>
                <c:pt idx="2">
                  <c:v>3.0693981711207203E-2</c:v>
                </c:pt>
                <c:pt idx="3">
                  <c:v>3.301195526417277E-2</c:v>
                </c:pt>
                <c:pt idx="4">
                  <c:v>2.8694250403009134E-2</c:v>
                </c:pt>
                <c:pt idx="5">
                  <c:v>3.0957755562721703E-2</c:v>
                </c:pt>
                <c:pt idx="6">
                  <c:v>3.0474134351905671E-2</c:v>
                </c:pt>
                <c:pt idx="7">
                  <c:v>3.2678723899712797E-2</c:v>
                </c:pt>
                <c:pt idx="8">
                  <c:v>3.3938251237332073E-2</c:v>
                </c:pt>
                <c:pt idx="9">
                  <c:v>3.1723526805494021E-2</c:v>
                </c:pt>
                <c:pt idx="10">
                  <c:v>4.208955223880597E-2</c:v>
                </c:pt>
                <c:pt idx="11">
                  <c:v>3.9781972014318254E-2</c:v>
                </c:pt>
                <c:pt idx="12">
                  <c:v>4.584592836859943E-2</c:v>
                </c:pt>
                <c:pt idx="13">
                  <c:v>0.2013888888888889</c:v>
                </c:pt>
                <c:pt idx="14">
                  <c:v>4.005737117098658E-2</c:v>
                </c:pt>
                <c:pt idx="15">
                  <c:v>7.3076923076923081E-2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98-4EDE-B1F0-6DC24A3DA936}"/>
            </c:ext>
          </c:extLst>
        </c:ser>
        <c:ser>
          <c:idx val="1"/>
          <c:order val="1"/>
          <c:tx>
            <c:strRef>
              <c:f>Gesamtübersicht!$O$1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(Gesamtübersicht!$A$2:$A$16,Gesamtübersicht!$A$18)</c:f>
              <c:strCache>
                <c:ptCount val="16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Gesamtübersicht!$O$2:$O$32</c15:sqref>
                  </c15:fullRef>
                </c:ext>
              </c:extLst>
              <c:f>(Gesamtübersicht!$O$2:$O$16,Gesamtübersicht!$O$18)</c:f>
              <c:numCache>
                <c:formatCode>0.00%</c:formatCode>
                <c:ptCount val="1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98-4EDE-B1F0-6DC24A3DA936}"/>
            </c:ext>
          </c:extLst>
        </c:ser>
        <c:ser>
          <c:idx val="2"/>
          <c:order val="2"/>
          <c:tx>
            <c:strRef>
              <c:f>Gesamtübersicht!$P$1</c:f>
              <c:strCache>
                <c:ptCount val="1"/>
                <c:pt idx="0">
                  <c:v>Schätzquote 
Durchschnitt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(Gesamtübersicht!$A$2:$A$16,Gesamtübersicht!$A$18)</c:f>
              <c:strCache>
                <c:ptCount val="16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Gesamtübersicht!$P$2:$P$32</c15:sqref>
                  </c15:fullRef>
                </c:ext>
              </c:extLst>
              <c:f>(Gesamtübersicht!$P$2:$P$16,Gesamtübersicht!$P$18)</c:f>
              <c:numCache>
                <c:formatCode>0.00%</c:formatCode>
                <c:ptCount val="16"/>
                <c:pt idx="0">
                  <c:v>4.2462533059065527E-2</c:v>
                </c:pt>
                <c:pt idx="1">
                  <c:v>3.4986481578628791E-2</c:v>
                </c:pt>
                <c:pt idx="2">
                  <c:v>3.3429335527669204E-2</c:v>
                </c:pt>
                <c:pt idx="3">
                  <c:v>3.3324976375523112E-2</c:v>
                </c:pt>
                <c:pt idx="4">
                  <c:v>3.2620425782399688E-2</c:v>
                </c:pt>
                <c:pt idx="5">
                  <c:v>3.240090262698514E-2</c:v>
                </c:pt>
                <c:pt idx="6">
                  <c:v>3.2119654804615531E-2</c:v>
                </c:pt>
                <c:pt idx="7">
                  <c:v>3.2195162862863912E-2</c:v>
                </c:pt>
                <c:pt idx="8">
                  <c:v>3.240038477191165E-2</c:v>
                </c:pt>
                <c:pt idx="9">
                  <c:v>3.2336412592859354E-2</c:v>
                </c:pt>
                <c:pt idx="10">
                  <c:v>3.3093602984913213E-2</c:v>
                </c:pt>
                <c:pt idx="11">
                  <c:v>3.3673620566800476E-2</c:v>
                </c:pt>
                <c:pt idx="12">
                  <c:v>3.5298361016524331E-2</c:v>
                </c:pt>
                <c:pt idx="13">
                  <c:v>3.5444445123105774E-2</c:v>
                </c:pt>
                <c:pt idx="14">
                  <c:v>3.6144328614950982E-2</c:v>
                </c:pt>
                <c:pt idx="15">
                  <c:v>3.6683617203774048E-2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98-4EDE-B1F0-6DC24A3DA93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5520528"/>
        <c:axId val="115525104"/>
      </c:lineChart>
      <c:catAx>
        <c:axId val="11552052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5525104"/>
        <c:crosses val="autoZero"/>
        <c:auto val="1"/>
        <c:lblAlgn val="ctr"/>
        <c:lblOffset val="100"/>
        <c:noMultiLvlLbl val="0"/>
      </c:catAx>
      <c:valAx>
        <c:axId val="11552510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5520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aktuelle Schätzquote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Gesamtübersicht!$N$1</c:f>
              <c:strCache>
                <c:ptCount val="1"/>
                <c:pt idx="0">
                  <c:v>Schätz-
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(Gesamtübersicht!$A$2:$A$16,Gesamtübersicht!$A$18:$A$32)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Gesamtübersicht!$N$2:$N$32</c15:sqref>
                  </c15:fullRef>
                </c:ext>
              </c:extLst>
              <c:f>(Gesamtübersicht!$N$2:$N$16,Gesamtübersicht!$N$18:$N$32)</c:f>
              <c:numCache>
                <c:formatCode>0.00%</c:formatCode>
                <c:ptCount val="30"/>
                <c:pt idx="0">
                  <c:v>4.2462533059065527E-2</c:v>
                </c:pt>
                <c:pt idx="1">
                  <c:v>2.5875190258751901E-2</c:v>
                </c:pt>
                <c:pt idx="2">
                  <c:v>3.0693981711207203E-2</c:v>
                </c:pt>
                <c:pt idx="3">
                  <c:v>3.301195526417277E-2</c:v>
                </c:pt>
                <c:pt idx="4">
                  <c:v>2.8694250403009134E-2</c:v>
                </c:pt>
                <c:pt idx="5">
                  <c:v>3.0957755562721703E-2</c:v>
                </c:pt>
                <c:pt idx="6">
                  <c:v>3.0474134351905671E-2</c:v>
                </c:pt>
                <c:pt idx="7">
                  <c:v>3.2678723899712797E-2</c:v>
                </c:pt>
                <c:pt idx="8">
                  <c:v>3.3938251237332073E-2</c:v>
                </c:pt>
                <c:pt idx="9">
                  <c:v>3.1723526805494021E-2</c:v>
                </c:pt>
                <c:pt idx="10">
                  <c:v>4.208955223880597E-2</c:v>
                </c:pt>
                <c:pt idx="11">
                  <c:v>3.9781972014318254E-2</c:v>
                </c:pt>
                <c:pt idx="12">
                  <c:v>4.584592836859943E-2</c:v>
                </c:pt>
                <c:pt idx="13">
                  <c:v>0.2013888888888889</c:v>
                </c:pt>
                <c:pt idx="14">
                  <c:v>4.005737117098658E-2</c:v>
                </c:pt>
                <c:pt idx="15">
                  <c:v>7.3076923076923081E-2</c:v>
                </c:pt>
                <c:pt idx="16">
                  <c:v>0.14690121155638397</c:v>
                </c:pt>
                <c:pt idx="17">
                  <c:v>0.4991692380726323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93-4EE7-ABE9-77F10CB3E602}"/>
            </c:ext>
          </c:extLst>
        </c:ser>
        <c:ser>
          <c:idx val="1"/>
          <c:order val="1"/>
          <c:tx>
            <c:strRef>
              <c:f>Gesamtübersicht!$O$1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(Gesamtübersicht!$A$2:$A$16,Gesamtübersicht!$A$18:$A$32)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Gesamtübersicht!$O$2:$O$32</c15:sqref>
                  </c15:fullRef>
                </c:ext>
              </c:extLst>
              <c:f>(Gesamtübersicht!$O$2:$O$16,Gesamtübersicht!$O$18:$O$32)</c:f>
              <c:numCache>
                <c:formatCode>0.00%</c:formatCode>
                <c:ptCount val="30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0.02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93-4EE7-ABE9-77F10CB3E60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0217040"/>
        <c:axId val="130220784"/>
      </c:lineChart>
      <c:catAx>
        <c:axId val="13021704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0220784"/>
        <c:crosses val="autoZero"/>
        <c:auto val="1"/>
        <c:lblAlgn val="ctr"/>
        <c:lblOffset val="100"/>
        <c:noMultiLvlLbl val="0"/>
      </c:catAx>
      <c:valAx>
        <c:axId val="130220784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0217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finale Schätzquote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Gesamtübersicht!$N$1</c:f>
              <c:strCache>
                <c:ptCount val="1"/>
                <c:pt idx="0">
                  <c:v>Schätz-
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(Gesamtübersicht!$A$2:$A$16,Gesamtübersicht!$A$18:$A$20)</c:f>
              <c:strCache>
                <c:ptCount val="18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Gesamtübersicht!$N$2:$N$32</c15:sqref>
                  </c15:fullRef>
                </c:ext>
              </c:extLst>
              <c:f>(Gesamtübersicht!$N$2:$N$16,Gesamtübersicht!$N$18:$N$20)</c:f>
              <c:numCache>
                <c:formatCode>0.00%</c:formatCode>
                <c:ptCount val="18"/>
                <c:pt idx="0">
                  <c:v>4.2462533059065527E-2</c:v>
                </c:pt>
                <c:pt idx="1">
                  <c:v>2.5875190258751901E-2</c:v>
                </c:pt>
                <c:pt idx="2">
                  <c:v>3.0693981711207203E-2</c:v>
                </c:pt>
                <c:pt idx="3">
                  <c:v>3.301195526417277E-2</c:v>
                </c:pt>
                <c:pt idx="4">
                  <c:v>2.8694250403009134E-2</c:v>
                </c:pt>
                <c:pt idx="5">
                  <c:v>3.0957755562721703E-2</c:v>
                </c:pt>
                <c:pt idx="6">
                  <c:v>3.0474134351905671E-2</c:v>
                </c:pt>
                <c:pt idx="7">
                  <c:v>3.2678723899712797E-2</c:v>
                </c:pt>
                <c:pt idx="8">
                  <c:v>3.3938251237332073E-2</c:v>
                </c:pt>
                <c:pt idx="9">
                  <c:v>3.1723526805494021E-2</c:v>
                </c:pt>
                <c:pt idx="10">
                  <c:v>4.208955223880597E-2</c:v>
                </c:pt>
                <c:pt idx="11">
                  <c:v>3.9781972014318254E-2</c:v>
                </c:pt>
                <c:pt idx="12">
                  <c:v>4.584592836859943E-2</c:v>
                </c:pt>
                <c:pt idx="13">
                  <c:v>0.2013888888888889</c:v>
                </c:pt>
                <c:pt idx="14">
                  <c:v>4.005737117098658E-2</c:v>
                </c:pt>
                <c:pt idx="15">
                  <c:v>7.3076923076923081E-2</c:v>
                </c:pt>
                <c:pt idx="16">
                  <c:v>0.14690121155638397</c:v>
                </c:pt>
                <c:pt idx="17">
                  <c:v>0.4991692380726323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1D-46AD-B209-BC79CCC815C2}"/>
            </c:ext>
          </c:extLst>
        </c:ser>
        <c:ser>
          <c:idx val="1"/>
          <c:order val="1"/>
          <c:tx>
            <c:strRef>
              <c:f>Gesamtübersicht!$O$1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(Gesamtübersicht!$A$2:$A$16,Gesamtübersicht!$A$18:$A$20)</c:f>
              <c:strCache>
                <c:ptCount val="18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Gesamtübersicht!$O$2:$O$32</c15:sqref>
                  </c15:fullRef>
                </c:ext>
              </c:extLst>
              <c:f>(Gesamtübersicht!$O$2:$O$16,Gesamtübersicht!$O$18:$O$20)</c:f>
              <c:numCache>
                <c:formatCode>0.00%</c:formatCode>
                <c:ptCount val="18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0.02</c:v>
                </c:pt>
                <c:pt idx="16">
                  <c:v>0.02</c:v>
                </c:pt>
                <c:pt idx="17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1D-46AD-B209-BC79CCC815C2}"/>
            </c:ext>
          </c:extLst>
        </c:ser>
        <c:ser>
          <c:idx val="2"/>
          <c:order val="2"/>
          <c:tx>
            <c:strRef>
              <c:f>Gesamtübersicht!$P$1</c:f>
              <c:strCache>
                <c:ptCount val="1"/>
                <c:pt idx="0">
                  <c:v>Schätzquote 
Durchschnitt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(Gesamtübersicht!$A$2:$A$16,Gesamtübersicht!$A$18:$A$20)</c:f>
              <c:strCache>
                <c:ptCount val="18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Gesamtübersicht!$P$2:$P$32</c15:sqref>
                  </c15:fullRef>
                </c:ext>
              </c:extLst>
              <c:f>(Gesamtübersicht!$P$2:$P$16,Gesamtübersicht!$P$18:$P$20)</c:f>
              <c:numCache>
                <c:formatCode>0.00%</c:formatCode>
                <c:ptCount val="18"/>
                <c:pt idx="0">
                  <c:v>4.2462533059065527E-2</c:v>
                </c:pt>
                <c:pt idx="1">
                  <c:v>3.4986481578628791E-2</c:v>
                </c:pt>
                <c:pt idx="2">
                  <c:v>3.3429335527669204E-2</c:v>
                </c:pt>
                <c:pt idx="3">
                  <c:v>3.3324976375523112E-2</c:v>
                </c:pt>
                <c:pt idx="4">
                  <c:v>3.2620425782399688E-2</c:v>
                </c:pt>
                <c:pt idx="5">
                  <c:v>3.240090262698514E-2</c:v>
                </c:pt>
                <c:pt idx="6">
                  <c:v>3.2119654804615531E-2</c:v>
                </c:pt>
                <c:pt idx="7">
                  <c:v>3.2195162862863912E-2</c:v>
                </c:pt>
                <c:pt idx="8">
                  <c:v>3.240038477191165E-2</c:v>
                </c:pt>
                <c:pt idx="9">
                  <c:v>3.2336412592859354E-2</c:v>
                </c:pt>
                <c:pt idx="10">
                  <c:v>3.3093602984913213E-2</c:v>
                </c:pt>
                <c:pt idx="11">
                  <c:v>3.3673620566800476E-2</c:v>
                </c:pt>
                <c:pt idx="12">
                  <c:v>3.5298361016524331E-2</c:v>
                </c:pt>
                <c:pt idx="13">
                  <c:v>3.5444445123105774E-2</c:v>
                </c:pt>
                <c:pt idx="14">
                  <c:v>3.6144328614950982E-2</c:v>
                </c:pt>
                <c:pt idx="15">
                  <c:v>3.6683617203774048E-2</c:v>
                </c:pt>
                <c:pt idx="16">
                  <c:v>4.5565924368170037E-2</c:v>
                </c:pt>
                <c:pt idx="17">
                  <c:v>9.3680500188829674E-2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1D-46AD-B209-BC79CCC815C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5520528"/>
        <c:axId val="115525104"/>
      </c:lineChart>
      <c:catAx>
        <c:axId val="11552052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5525104"/>
        <c:crosses val="autoZero"/>
        <c:auto val="1"/>
        <c:lblAlgn val="ctr"/>
        <c:lblOffset val="100"/>
        <c:noMultiLvlLbl val="0"/>
      </c:catAx>
      <c:valAx>
        <c:axId val="11552510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5520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Gesamtübersicht!$Q$1</c:f>
              <c:strCache>
                <c:ptCount val="1"/>
                <c:pt idx="0">
                  <c:v>Delay 
Schätztermin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Gesamtübersicht!$A$2:$A$32</c15:sqref>
                  </c15:fullRef>
                </c:ext>
              </c:extLst>
              <c:f>(Gesamtübersicht!$A$2:$A$16,Gesamtübersicht!$A$18:$A$32)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Gesamtübersicht!$Q$2:$Q$32</c15:sqref>
                  </c15:fullRef>
                </c:ext>
              </c:extLst>
              <c:f>(Gesamtübersicht!$Q$2:$Q$16,Gesamtübersicht!$Q$18:$Q$32)</c:f>
              <c:numCache>
                <c:formatCode>0</c:formatCode>
                <c:ptCount val="30"/>
                <c:pt idx="0">
                  <c:v>3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11</c:v>
                </c:pt>
                <c:pt idx="13">
                  <c:v>10</c:v>
                </c:pt>
                <c:pt idx="14">
                  <c:v>0</c:v>
                </c:pt>
                <c:pt idx="15">
                  <c:v>0</c:v>
                </c:pt>
                <c:pt idx="16" formatCode="General">
                  <c:v>0</c:v>
                </c:pt>
                <c:pt idx="17">
                  <c:v>0</c:v>
                </c:pt>
                <c:pt idx="18" formatCode="General">
                  <c:v>0</c:v>
                </c:pt>
                <c:pt idx="19">
                  <c:v>0</c:v>
                </c:pt>
                <c:pt idx="20" formatCode="General">
                  <c:v>0</c:v>
                </c:pt>
                <c:pt idx="21">
                  <c:v>0</c:v>
                </c:pt>
                <c:pt idx="22" formatCode="General">
                  <c:v>0</c:v>
                </c:pt>
                <c:pt idx="23">
                  <c:v>0</c:v>
                </c:pt>
                <c:pt idx="24" formatCode="General">
                  <c:v>0</c:v>
                </c:pt>
                <c:pt idx="25">
                  <c:v>0</c:v>
                </c:pt>
                <c:pt idx="26" formatCode="General">
                  <c:v>0</c:v>
                </c:pt>
                <c:pt idx="27">
                  <c:v>0</c:v>
                </c:pt>
                <c:pt idx="28" formatCode="General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16-46FA-9FD6-C6D2BCF56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4527855"/>
        <c:axId val="1425039247"/>
      </c:lineChart>
      <c:catAx>
        <c:axId val="156452785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25039247"/>
        <c:crosses val="autoZero"/>
        <c:auto val="1"/>
        <c:lblAlgn val="ctr"/>
        <c:lblOffset val="100"/>
        <c:noMultiLvlLbl val="0"/>
      </c:catAx>
      <c:valAx>
        <c:axId val="142503924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6452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/>
              <a:t>Anzahl abgelesener Zählwerke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'Ablesewerte je Portion'!$B$1</c:f>
              <c:strCache>
                <c:ptCount val="1"/>
                <c:pt idx="0">
                  <c:v>vorbereitete
Zählwerke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'Ablesewerte je Portion'!$A$2:$A$31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f>'Ablesewerte je Portion'!$B$2:$B$31</c:f>
              <c:numCache>
                <c:formatCode>#,##0</c:formatCode>
                <c:ptCount val="30"/>
                <c:pt idx="0">
                  <c:v>13612</c:v>
                </c:pt>
                <c:pt idx="1">
                  <c:v>11169</c:v>
                </c:pt>
                <c:pt idx="2">
                  <c:v>14107</c:v>
                </c:pt>
                <c:pt idx="3">
                  <c:v>12965</c:v>
                </c:pt>
                <c:pt idx="4">
                  <c:v>9305</c:v>
                </c:pt>
                <c:pt idx="5">
                  <c:v>9303</c:v>
                </c:pt>
                <c:pt idx="6">
                  <c:v>12043</c:v>
                </c:pt>
                <c:pt idx="7">
                  <c:v>12883</c:v>
                </c:pt>
                <c:pt idx="8">
                  <c:v>12729</c:v>
                </c:pt>
                <c:pt idx="9">
                  <c:v>11285</c:v>
                </c:pt>
                <c:pt idx="10">
                  <c:v>10050</c:v>
                </c:pt>
                <c:pt idx="11">
                  <c:v>12292</c:v>
                </c:pt>
                <c:pt idx="12">
                  <c:v>21834</c:v>
                </c:pt>
                <c:pt idx="13">
                  <c:v>144</c:v>
                </c:pt>
                <c:pt idx="14">
                  <c:v>29283</c:v>
                </c:pt>
                <c:pt idx="15">
                  <c:v>2860</c:v>
                </c:pt>
                <c:pt idx="16">
                  <c:v>17168</c:v>
                </c:pt>
                <c:pt idx="17">
                  <c:v>25278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68-4C02-A274-9180C48CE2CF}"/>
            </c:ext>
          </c:extLst>
        </c:ser>
        <c:ser>
          <c:idx val="1"/>
          <c:order val="1"/>
          <c:tx>
            <c:strRef>
              <c:f>'Ablesewerte je Portion'!$C$1</c:f>
              <c:strCache>
                <c:ptCount val="1"/>
                <c:pt idx="0">
                  <c:v>abgelesene Zählwerke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'Ablesewerte je Portion'!$A$2:$A$31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f>'Ablesewerte je Portion'!$C$2:$C$31</c:f>
              <c:numCache>
                <c:formatCode>#,##0</c:formatCode>
                <c:ptCount val="30"/>
                <c:pt idx="0">
                  <c:v>12923</c:v>
                </c:pt>
                <c:pt idx="1">
                  <c:v>10843</c:v>
                </c:pt>
                <c:pt idx="2">
                  <c:v>13452</c:v>
                </c:pt>
                <c:pt idx="3">
                  <c:v>12468</c:v>
                </c:pt>
                <c:pt idx="4">
                  <c:v>9020</c:v>
                </c:pt>
                <c:pt idx="5">
                  <c:v>9000</c:v>
                </c:pt>
                <c:pt idx="6">
                  <c:v>11660</c:v>
                </c:pt>
                <c:pt idx="7">
                  <c:v>12430</c:v>
                </c:pt>
                <c:pt idx="8">
                  <c:v>12279</c:v>
                </c:pt>
                <c:pt idx="9">
                  <c:v>10849</c:v>
                </c:pt>
                <c:pt idx="10">
                  <c:v>9604</c:v>
                </c:pt>
                <c:pt idx="11">
                  <c:v>11723</c:v>
                </c:pt>
                <c:pt idx="12">
                  <c:v>20543</c:v>
                </c:pt>
                <c:pt idx="13">
                  <c:v>119</c:v>
                </c:pt>
                <c:pt idx="14">
                  <c:v>27846</c:v>
                </c:pt>
                <c:pt idx="15">
                  <c:v>2651</c:v>
                </c:pt>
                <c:pt idx="16">
                  <c:v>14646</c:v>
                </c:pt>
                <c:pt idx="17">
                  <c:v>12660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68-4C02-A274-9180C48CE2CF}"/>
            </c:ext>
          </c:extLst>
        </c:ser>
        <c:ser>
          <c:idx val="2"/>
          <c:order val="2"/>
          <c:tx>
            <c:strRef>
              <c:f>'Ablesewerte je Portion'!$D$1</c:f>
              <c:strCache>
                <c:ptCount val="1"/>
                <c:pt idx="0">
                  <c:v>Differenz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'Ablesewerte je Portion'!$A$2:$A$31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f>'Ablesewerte je Portion'!$D$2:$D$31</c:f>
              <c:numCache>
                <c:formatCode>#,##0</c:formatCode>
                <c:ptCount val="30"/>
                <c:pt idx="0">
                  <c:v>689</c:v>
                </c:pt>
                <c:pt idx="1">
                  <c:v>326</c:v>
                </c:pt>
                <c:pt idx="2">
                  <c:v>655</c:v>
                </c:pt>
                <c:pt idx="3">
                  <c:v>497</c:v>
                </c:pt>
                <c:pt idx="4">
                  <c:v>285</c:v>
                </c:pt>
                <c:pt idx="5">
                  <c:v>303</c:v>
                </c:pt>
                <c:pt idx="6">
                  <c:v>383</c:v>
                </c:pt>
                <c:pt idx="7">
                  <c:v>453</c:v>
                </c:pt>
                <c:pt idx="8">
                  <c:v>450</c:v>
                </c:pt>
                <c:pt idx="9">
                  <c:v>436</c:v>
                </c:pt>
                <c:pt idx="10">
                  <c:v>446</c:v>
                </c:pt>
                <c:pt idx="11">
                  <c:v>569</c:v>
                </c:pt>
                <c:pt idx="12">
                  <c:v>1291</c:v>
                </c:pt>
                <c:pt idx="13">
                  <c:v>25</c:v>
                </c:pt>
                <c:pt idx="14">
                  <c:v>1437</c:v>
                </c:pt>
                <c:pt idx="15">
                  <c:v>209</c:v>
                </c:pt>
                <c:pt idx="16">
                  <c:v>2522</c:v>
                </c:pt>
                <c:pt idx="17">
                  <c:v>12618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68-4C02-A274-9180C48CE2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619900031"/>
        <c:axId val="619883807"/>
      </c:barChart>
      <c:lineChart>
        <c:grouping val="stacked"/>
        <c:varyColors val="0"/>
        <c:ser>
          <c:idx val="3"/>
          <c:order val="3"/>
          <c:tx>
            <c:strRef>
              <c:f>'Ablesewerte je Portion'!$E$1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'Ablesewerte je Portion'!$A$2:$A$31</c:f>
              <c:strCache>
                <c:ptCount val="30"/>
                <c:pt idx="0">
                  <c:v>p01a</c:v>
                </c:pt>
                <c:pt idx="1">
                  <c:v>p01b</c:v>
                </c:pt>
                <c:pt idx="2">
                  <c:v>p01c</c:v>
                </c:pt>
                <c:pt idx="3">
                  <c:v>p02a</c:v>
                </c:pt>
                <c:pt idx="4">
                  <c:v>p02b</c:v>
                </c:pt>
                <c:pt idx="5">
                  <c:v>p02c</c:v>
                </c:pt>
                <c:pt idx="6">
                  <c:v>p03a</c:v>
                </c:pt>
                <c:pt idx="7">
                  <c:v>p03b</c:v>
                </c:pt>
                <c:pt idx="8">
                  <c:v>p03c</c:v>
                </c:pt>
                <c:pt idx="9">
                  <c:v>p04a</c:v>
                </c:pt>
                <c:pt idx="10">
                  <c:v>p04b</c:v>
                </c:pt>
                <c:pt idx="11">
                  <c:v>p04c</c:v>
                </c:pt>
                <c:pt idx="12">
                  <c:v>p05b</c:v>
                </c:pt>
                <c:pt idx="13">
                  <c:v>p05c</c:v>
                </c:pt>
                <c:pt idx="14">
                  <c:v>p06a</c:v>
                </c:pt>
                <c:pt idx="15">
                  <c:v>p07c</c:v>
                </c:pt>
                <c:pt idx="16">
                  <c:v>p08a</c:v>
                </c:pt>
                <c:pt idx="17">
                  <c:v>p08b</c:v>
                </c:pt>
                <c:pt idx="18">
                  <c:v>p09a</c:v>
                </c:pt>
                <c:pt idx="19">
                  <c:v>p09b</c:v>
                </c:pt>
                <c:pt idx="20">
                  <c:v>p10a</c:v>
                </c:pt>
                <c:pt idx="21">
                  <c:v>p10b</c:v>
                </c:pt>
                <c:pt idx="22">
                  <c:v>p10c</c:v>
                </c:pt>
                <c:pt idx="23">
                  <c:v>p11a</c:v>
                </c:pt>
                <c:pt idx="24">
                  <c:v>p11b</c:v>
                </c:pt>
                <c:pt idx="25">
                  <c:v>p11c</c:v>
                </c:pt>
                <c:pt idx="26">
                  <c:v>p12a</c:v>
                </c:pt>
                <c:pt idx="27">
                  <c:v>p12c</c:v>
                </c:pt>
                <c:pt idx="28">
                  <c:v>p12e</c:v>
                </c:pt>
                <c:pt idx="29">
                  <c:v>p12_eeg</c:v>
                </c:pt>
              </c:strCache>
            </c:strRef>
          </c:cat>
          <c:val>
            <c:numRef>
              <c:f>'Ablesewerte je Portion'!$E$2:$E$31</c:f>
              <c:numCache>
                <c:formatCode>0.00%</c:formatCode>
                <c:ptCount val="30"/>
                <c:pt idx="0">
                  <c:v>4.2462533059065527E-2</c:v>
                </c:pt>
                <c:pt idx="1">
                  <c:v>2.5875190258751901E-2</c:v>
                </c:pt>
                <c:pt idx="2">
                  <c:v>3.0693981711207203E-2</c:v>
                </c:pt>
                <c:pt idx="3">
                  <c:v>3.301195526417277E-2</c:v>
                </c:pt>
                <c:pt idx="4">
                  <c:v>2.8694250403009134E-2</c:v>
                </c:pt>
                <c:pt idx="5">
                  <c:v>3.0957755562721703E-2</c:v>
                </c:pt>
                <c:pt idx="6">
                  <c:v>3.0474134351905671E-2</c:v>
                </c:pt>
                <c:pt idx="7">
                  <c:v>3.2678723899712797E-2</c:v>
                </c:pt>
                <c:pt idx="8">
                  <c:v>3.3938251237332073E-2</c:v>
                </c:pt>
                <c:pt idx="9">
                  <c:v>3.1723526805494021E-2</c:v>
                </c:pt>
                <c:pt idx="10">
                  <c:v>4.208955223880597E-2</c:v>
                </c:pt>
                <c:pt idx="11">
                  <c:v>3.9781972014318254E-2</c:v>
                </c:pt>
                <c:pt idx="12">
                  <c:v>4.584592836859943E-2</c:v>
                </c:pt>
                <c:pt idx="13">
                  <c:v>0.2013888888888889</c:v>
                </c:pt>
                <c:pt idx="14">
                  <c:v>4.005737117098658E-2</c:v>
                </c:pt>
                <c:pt idx="15">
                  <c:v>7.3076923076923081E-2</c:v>
                </c:pt>
                <c:pt idx="16">
                  <c:v>0.14690121155638397</c:v>
                </c:pt>
                <c:pt idx="17">
                  <c:v>0.4991692380726323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068-4C02-A274-9180C48CE2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491039"/>
        <c:axId val="499417279"/>
      </c:lineChart>
      <c:catAx>
        <c:axId val="619900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9883807"/>
        <c:crosses val="autoZero"/>
        <c:auto val="1"/>
        <c:lblAlgn val="ctr"/>
        <c:lblOffset val="100"/>
        <c:noMultiLvlLbl val="0"/>
      </c:catAx>
      <c:valAx>
        <c:axId val="619883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9900031"/>
        <c:crosses val="autoZero"/>
        <c:crossBetween val="between"/>
      </c:valAx>
      <c:valAx>
        <c:axId val="499417279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4491039"/>
        <c:crosses val="max"/>
        <c:crossBetween val="between"/>
      </c:valAx>
      <c:catAx>
        <c:axId val="4444910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94172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p01a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P01A!$C$1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P01A!$A$2:$B$7</c:f>
              <c:multiLvlStrCache>
                <c:ptCount val="6"/>
                <c:lvl>
                  <c:pt idx="0">
                    <c:v>1/3/2025</c:v>
                  </c:pt>
                  <c:pt idx="1">
                    <c:v>1/10/2025</c:v>
                  </c:pt>
                  <c:pt idx="2">
                    <c:v>1/17/2025</c:v>
                  </c:pt>
                  <c:pt idx="3">
                    <c:v>1/24/2025</c:v>
                  </c:pt>
                  <c:pt idx="4">
                    <c:v>1/31/2025</c:v>
                  </c:pt>
                  <c:pt idx="5">
                    <c:v>2/3/2025</c:v>
                  </c:pt>
                </c:lvl>
                <c:lvl>
                  <c:pt idx="0">
                    <c:v>KW01</c:v>
                  </c:pt>
                  <c:pt idx="1">
                    <c:v>KW02</c:v>
                  </c:pt>
                  <c:pt idx="2">
                    <c:v>KW03</c:v>
                  </c:pt>
                  <c:pt idx="3">
                    <c:v>KW04</c:v>
                  </c:pt>
                  <c:pt idx="4">
                    <c:v>KW05</c:v>
                  </c:pt>
                  <c:pt idx="5">
                    <c:v>KW06</c:v>
                  </c:pt>
                </c:lvl>
              </c:multiLvlStrCache>
            </c:multiLvlStrRef>
          </c:cat>
          <c:val>
            <c:numRef>
              <c:f>P01A!$C$2:$C$7</c:f>
              <c:numCache>
                <c:formatCode>0.00%</c:formatCode>
                <c:ptCount val="6"/>
                <c:pt idx="0">
                  <c:v>0.83620000000000005</c:v>
                </c:pt>
                <c:pt idx="1">
                  <c:v>0.26719999999999999</c:v>
                </c:pt>
                <c:pt idx="2">
                  <c:v>0.1091</c:v>
                </c:pt>
                <c:pt idx="3">
                  <c:v>6.0314428445489274E-2</c:v>
                </c:pt>
                <c:pt idx="4">
                  <c:v>5.0599999999999999E-2</c:v>
                </c:pt>
                <c:pt idx="5">
                  <c:v>4.2500000000000003E-2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5E-4EE2-92CA-ABE2697968CE}"/>
            </c:ext>
          </c:extLst>
        </c:ser>
        <c:ser>
          <c:idx val="1"/>
          <c:order val="1"/>
          <c:tx>
            <c:strRef>
              <c:f>P01A!$D$1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P01A!$A$2:$B$7</c:f>
              <c:multiLvlStrCache>
                <c:ptCount val="6"/>
                <c:lvl>
                  <c:pt idx="0">
                    <c:v>1/3/2025</c:v>
                  </c:pt>
                  <c:pt idx="1">
                    <c:v>1/10/2025</c:v>
                  </c:pt>
                  <c:pt idx="2">
                    <c:v>1/17/2025</c:v>
                  </c:pt>
                  <c:pt idx="3">
                    <c:v>1/24/2025</c:v>
                  </c:pt>
                  <c:pt idx="4">
                    <c:v>1/31/2025</c:v>
                  </c:pt>
                  <c:pt idx="5">
                    <c:v>2/3/2025</c:v>
                  </c:pt>
                </c:lvl>
                <c:lvl>
                  <c:pt idx="0">
                    <c:v>KW01</c:v>
                  </c:pt>
                  <c:pt idx="1">
                    <c:v>KW02</c:v>
                  </c:pt>
                  <c:pt idx="2">
                    <c:v>KW03</c:v>
                  </c:pt>
                  <c:pt idx="3">
                    <c:v>KW04</c:v>
                  </c:pt>
                  <c:pt idx="4">
                    <c:v>KW05</c:v>
                  </c:pt>
                  <c:pt idx="5">
                    <c:v>KW06</c:v>
                  </c:pt>
                </c:lvl>
              </c:multiLvlStrCache>
            </c:multiLvlStrRef>
          </c:cat>
          <c:val>
            <c:numRef>
              <c:f>P01A!$D$2:$D$7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5E-4EE2-92CA-ABE2697968C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07064127"/>
        <c:axId val="707057055"/>
      </c:lineChart>
      <c:catAx>
        <c:axId val="70706412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07057055"/>
        <c:crosses val="autoZero"/>
        <c:auto val="1"/>
        <c:lblAlgn val="ctr"/>
        <c:lblOffset val="100"/>
        <c:noMultiLvlLbl val="0"/>
      </c:catAx>
      <c:valAx>
        <c:axId val="707057055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070641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p01b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P01B!$C$1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P01B!$A$2:$B$6</c:f>
              <c:multiLvlStrCache>
                <c:ptCount val="5"/>
                <c:lvl>
                  <c:pt idx="0">
                    <c:v>1/17/2025</c:v>
                  </c:pt>
                  <c:pt idx="1">
                    <c:v>1/24/2025</c:v>
                  </c:pt>
                  <c:pt idx="2">
                    <c:v>1/31/2025</c:v>
                  </c:pt>
                  <c:pt idx="3">
                    <c:v>2/7/2025</c:v>
                  </c:pt>
                  <c:pt idx="4">
                    <c:v>2/10/2025</c:v>
                  </c:pt>
                </c:lvl>
                <c:lvl>
                  <c:pt idx="0">
                    <c:v>KW03</c:v>
                  </c:pt>
                  <c:pt idx="1">
                    <c:v>KW04</c:v>
                  </c:pt>
                  <c:pt idx="2">
                    <c:v>KW05</c:v>
                  </c:pt>
                  <c:pt idx="3">
                    <c:v>KW06</c:v>
                  </c:pt>
                  <c:pt idx="4">
                    <c:v>KW07</c:v>
                  </c:pt>
                </c:lvl>
              </c:multiLvlStrCache>
            </c:multiLvlStrRef>
          </c:cat>
          <c:val>
            <c:numRef>
              <c:f>P01B!$C$2:$C$6</c:f>
              <c:numCache>
                <c:formatCode>0.00%</c:formatCode>
                <c:ptCount val="5"/>
                <c:pt idx="0">
                  <c:v>0.38779999999999998</c:v>
                </c:pt>
                <c:pt idx="1">
                  <c:v>7.0641955412301907E-2</c:v>
                </c:pt>
                <c:pt idx="2">
                  <c:v>4.0899999999999999E-2</c:v>
                </c:pt>
                <c:pt idx="3">
                  <c:v>2.92E-2</c:v>
                </c:pt>
                <c:pt idx="4">
                  <c:v>2.5875190258751901E-2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AA-48A1-B5AD-D829413F090B}"/>
            </c:ext>
          </c:extLst>
        </c:ser>
        <c:ser>
          <c:idx val="1"/>
          <c:order val="1"/>
          <c:tx>
            <c:strRef>
              <c:f>P01B!$D$1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P01B!$A$2:$B$6</c:f>
              <c:multiLvlStrCache>
                <c:ptCount val="5"/>
                <c:lvl>
                  <c:pt idx="0">
                    <c:v>1/17/2025</c:v>
                  </c:pt>
                  <c:pt idx="1">
                    <c:v>1/24/2025</c:v>
                  </c:pt>
                  <c:pt idx="2">
                    <c:v>1/31/2025</c:v>
                  </c:pt>
                  <c:pt idx="3">
                    <c:v>2/7/2025</c:v>
                  </c:pt>
                  <c:pt idx="4">
                    <c:v>2/10/2025</c:v>
                  </c:pt>
                </c:lvl>
                <c:lvl>
                  <c:pt idx="0">
                    <c:v>KW03</c:v>
                  </c:pt>
                  <c:pt idx="1">
                    <c:v>KW04</c:v>
                  </c:pt>
                  <c:pt idx="2">
                    <c:v>KW05</c:v>
                  </c:pt>
                  <c:pt idx="3">
                    <c:v>KW06</c:v>
                  </c:pt>
                  <c:pt idx="4">
                    <c:v>KW07</c:v>
                  </c:pt>
                </c:lvl>
              </c:multiLvlStrCache>
            </c:multiLvlStrRef>
          </c:cat>
          <c:val>
            <c:numRef>
              <c:f>P01B!$D$2:$D$6</c:f>
              <c:numCache>
                <c:formatCode>0.00%</c:formatCode>
                <c:ptCount val="5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AA-48A1-B5AD-D829413F090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07074111"/>
        <c:axId val="707074527"/>
      </c:lineChart>
      <c:catAx>
        <c:axId val="707074111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07074527"/>
        <c:crosses val="autoZero"/>
        <c:auto val="1"/>
        <c:lblAlgn val="ctr"/>
        <c:lblOffset val="100"/>
        <c:noMultiLvlLbl val="0"/>
      </c:catAx>
      <c:valAx>
        <c:axId val="70707452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07074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p01c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P01C!$C$1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P01C!$A$2:$B$6</c:f>
              <c:multiLvlStrCache>
                <c:ptCount val="5"/>
                <c:lvl>
                  <c:pt idx="0">
                    <c:v>1/24/2025</c:v>
                  </c:pt>
                  <c:pt idx="1">
                    <c:v>1/31/2025</c:v>
                  </c:pt>
                  <c:pt idx="2">
                    <c:v>2/7/2025</c:v>
                  </c:pt>
                  <c:pt idx="3">
                    <c:v>2/14/2025</c:v>
                  </c:pt>
                  <c:pt idx="4">
                    <c:v>2/20/2025</c:v>
                  </c:pt>
                </c:lvl>
                <c:lvl>
                  <c:pt idx="0">
                    <c:v>KW04</c:v>
                  </c:pt>
                  <c:pt idx="1">
                    <c:v>KW05</c:v>
                  </c:pt>
                  <c:pt idx="2">
                    <c:v>KW06</c:v>
                  </c:pt>
                  <c:pt idx="3">
                    <c:v>KW07</c:v>
                  </c:pt>
                  <c:pt idx="4">
                    <c:v>KW08</c:v>
                  </c:pt>
                </c:lvl>
              </c:multiLvlStrCache>
            </c:multiLvlStrRef>
          </c:cat>
          <c:val>
            <c:numRef>
              <c:f>P01C!$C$2:$C$6</c:f>
              <c:numCache>
                <c:formatCode>0.00%</c:formatCode>
                <c:ptCount val="5"/>
                <c:pt idx="0">
                  <c:v>0.6160771248316439</c:v>
                </c:pt>
                <c:pt idx="1">
                  <c:v>0.1426</c:v>
                </c:pt>
                <c:pt idx="2">
                  <c:v>6.5003189905720571E-2</c:v>
                </c:pt>
                <c:pt idx="3">
                  <c:v>4.6399999999999997E-2</c:v>
                </c:pt>
                <c:pt idx="4">
                  <c:v>3.0693981711207203E-2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81-4F75-B453-72D7064EC31C}"/>
            </c:ext>
          </c:extLst>
        </c:ser>
        <c:ser>
          <c:idx val="1"/>
          <c:order val="1"/>
          <c:tx>
            <c:strRef>
              <c:f>P01C!$D$1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P01C!$A$2:$B$6</c:f>
              <c:multiLvlStrCache>
                <c:ptCount val="5"/>
                <c:lvl>
                  <c:pt idx="0">
                    <c:v>1/24/2025</c:v>
                  </c:pt>
                  <c:pt idx="1">
                    <c:v>1/31/2025</c:v>
                  </c:pt>
                  <c:pt idx="2">
                    <c:v>2/7/2025</c:v>
                  </c:pt>
                  <c:pt idx="3">
                    <c:v>2/14/2025</c:v>
                  </c:pt>
                  <c:pt idx="4">
                    <c:v>2/20/2025</c:v>
                  </c:pt>
                </c:lvl>
                <c:lvl>
                  <c:pt idx="0">
                    <c:v>KW04</c:v>
                  </c:pt>
                  <c:pt idx="1">
                    <c:v>KW05</c:v>
                  </c:pt>
                  <c:pt idx="2">
                    <c:v>KW06</c:v>
                  </c:pt>
                  <c:pt idx="3">
                    <c:v>KW07</c:v>
                  </c:pt>
                  <c:pt idx="4">
                    <c:v>KW08</c:v>
                  </c:pt>
                </c:lvl>
              </c:multiLvlStrCache>
            </c:multiLvlStrRef>
          </c:cat>
          <c:val>
            <c:numRef>
              <c:f>P01C!$D$2:$D$6</c:f>
              <c:numCache>
                <c:formatCode>0.00%</c:formatCode>
                <c:ptCount val="5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81-4F75-B453-72D7064EC31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03850175"/>
        <c:axId val="803840191"/>
      </c:lineChart>
      <c:catAx>
        <c:axId val="80385017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03840191"/>
        <c:crosses val="autoZero"/>
        <c:auto val="1"/>
        <c:lblAlgn val="ctr"/>
        <c:lblOffset val="100"/>
        <c:noMultiLvlLbl val="0"/>
      </c:catAx>
      <c:valAx>
        <c:axId val="803840191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0385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p02a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P02A!$C$1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P02A!$A$2:$B$6</c:f>
              <c:multiLvlStrCache>
                <c:ptCount val="5"/>
                <c:lvl>
                  <c:pt idx="0">
                    <c:v>2/7/2025</c:v>
                  </c:pt>
                  <c:pt idx="1">
                    <c:v>2/14/2025</c:v>
                  </c:pt>
                  <c:pt idx="2">
                    <c:v>2/21/2025</c:v>
                  </c:pt>
                  <c:pt idx="3">
                    <c:v>2/28/2025</c:v>
                  </c:pt>
                  <c:pt idx="4">
                    <c:v>3/5/2025</c:v>
                  </c:pt>
                </c:lvl>
                <c:lvl>
                  <c:pt idx="0">
                    <c:v>KW06</c:v>
                  </c:pt>
                  <c:pt idx="1">
                    <c:v>KW07</c:v>
                  </c:pt>
                  <c:pt idx="2">
                    <c:v>KW08</c:v>
                  </c:pt>
                  <c:pt idx="3">
                    <c:v>KW09</c:v>
                  </c:pt>
                  <c:pt idx="4">
                    <c:v>KW10</c:v>
                  </c:pt>
                </c:lvl>
              </c:multiLvlStrCache>
            </c:multiLvlStrRef>
          </c:cat>
          <c:val>
            <c:numRef>
              <c:f>P02A!$C$2:$C$6</c:f>
              <c:numCache>
                <c:formatCode>0.00%</c:formatCode>
                <c:ptCount val="5"/>
                <c:pt idx="0">
                  <c:v>0.3220208252988816</c:v>
                </c:pt>
                <c:pt idx="1">
                  <c:v>8.7234863092942538E-2</c:v>
                </c:pt>
                <c:pt idx="2">
                  <c:v>5.3065946779791748E-2</c:v>
                </c:pt>
                <c:pt idx="3">
                  <c:v>4.3424604704974931E-2</c:v>
                </c:pt>
                <c:pt idx="4">
                  <c:v>3.3000000000000002E-2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87-4DFA-BB6F-A14856B86F8E}"/>
            </c:ext>
          </c:extLst>
        </c:ser>
        <c:ser>
          <c:idx val="1"/>
          <c:order val="1"/>
          <c:tx>
            <c:strRef>
              <c:f>P02A!$D$1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P02A!$A$2:$B$6</c:f>
              <c:multiLvlStrCache>
                <c:ptCount val="5"/>
                <c:lvl>
                  <c:pt idx="0">
                    <c:v>2/7/2025</c:v>
                  </c:pt>
                  <c:pt idx="1">
                    <c:v>2/14/2025</c:v>
                  </c:pt>
                  <c:pt idx="2">
                    <c:v>2/21/2025</c:v>
                  </c:pt>
                  <c:pt idx="3">
                    <c:v>2/28/2025</c:v>
                  </c:pt>
                  <c:pt idx="4">
                    <c:v>3/5/2025</c:v>
                  </c:pt>
                </c:lvl>
                <c:lvl>
                  <c:pt idx="0">
                    <c:v>KW06</c:v>
                  </c:pt>
                  <c:pt idx="1">
                    <c:v>KW07</c:v>
                  </c:pt>
                  <c:pt idx="2">
                    <c:v>KW08</c:v>
                  </c:pt>
                  <c:pt idx="3">
                    <c:v>KW09</c:v>
                  </c:pt>
                  <c:pt idx="4">
                    <c:v>KW10</c:v>
                  </c:pt>
                </c:lvl>
              </c:multiLvlStrCache>
            </c:multiLvlStrRef>
          </c:cat>
          <c:val>
            <c:numRef>
              <c:f>P02A!$D$2:$D$6</c:f>
              <c:numCache>
                <c:formatCode>0.00%</c:formatCode>
                <c:ptCount val="5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87-4DFA-BB6F-A14856B86F8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6004415"/>
        <c:axId val="105995263"/>
      </c:lineChart>
      <c:catAx>
        <c:axId val="10600441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5995263"/>
        <c:crosses val="autoZero"/>
        <c:auto val="1"/>
        <c:lblAlgn val="ctr"/>
        <c:lblOffset val="100"/>
        <c:noMultiLvlLbl val="0"/>
      </c:catAx>
      <c:valAx>
        <c:axId val="10599526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00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p02b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P02B!$C$1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P02B!$A$2:$B$6</c:f>
              <c:multiLvlStrCache>
                <c:ptCount val="5"/>
                <c:lvl>
                  <c:pt idx="0">
                    <c:v>2/14/2025</c:v>
                  </c:pt>
                  <c:pt idx="1">
                    <c:v>2/21/2025</c:v>
                  </c:pt>
                  <c:pt idx="2">
                    <c:v>2/28/2025</c:v>
                  </c:pt>
                  <c:pt idx="3">
                    <c:v>3/7/2025</c:v>
                  </c:pt>
                  <c:pt idx="4">
                    <c:v>3/12/2025</c:v>
                  </c:pt>
                </c:lvl>
                <c:lvl>
                  <c:pt idx="0">
                    <c:v>KW07</c:v>
                  </c:pt>
                  <c:pt idx="1">
                    <c:v>KW08</c:v>
                  </c:pt>
                  <c:pt idx="2">
                    <c:v>KW09</c:v>
                  </c:pt>
                  <c:pt idx="3">
                    <c:v>KW10</c:v>
                  </c:pt>
                  <c:pt idx="4">
                    <c:v>KW11</c:v>
                  </c:pt>
                </c:lvl>
              </c:multiLvlStrCache>
            </c:multiLvlStrRef>
          </c:cat>
          <c:val>
            <c:numRef>
              <c:f>P02B!$C$2:$C$6</c:f>
              <c:numCache>
                <c:formatCode>0.00%</c:formatCode>
                <c:ptCount val="5"/>
                <c:pt idx="0">
                  <c:v>0.42880171950564211</c:v>
                </c:pt>
                <c:pt idx="1">
                  <c:v>6.6953250940354647E-2</c:v>
                </c:pt>
                <c:pt idx="2">
                  <c:v>4.7071466953250943E-2</c:v>
                </c:pt>
                <c:pt idx="3">
                  <c:v>4.0300913487372379E-2</c:v>
                </c:pt>
                <c:pt idx="4">
                  <c:v>2.8694250403009134E-2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67-496D-9864-662409DE5195}"/>
            </c:ext>
          </c:extLst>
        </c:ser>
        <c:ser>
          <c:idx val="1"/>
          <c:order val="1"/>
          <c:tx>
            <c:strRef>
              <c:f>P02B!$D$1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P02B!$A$2:$B$6</c:f>
              <c:multiLvlStrCache>
                <c:ptCount val="5"/>
                <c:lvl>
                  <c:pt idx="0">
                    <c:v>2/14/2025</c:v>
                  </c:pt>
                  <c:pt idx="1">
                    <c:v>2/21/2025</c:v>
                  </c:pt>
                  <c:pt idx="2">
                    <c:v>2/28/2025</c:v>
                  </c:pt>
                  <c:pt idx="3">
                    <c:v>3/7/2025</c:v>
                  </c:pt>
                  <c:pt idx="4">
                    <c:v>3/12/2025</c:v>
                  </c:pt>
                </c:lvl>
                <c:lvl>
                  <c:pt idx="0">
                    <c:v>KW07</c:v>
                  </c:pt>
                  <c:pt idx="1">
                    <c:v>KW08</c:v>
                  </c:pt>
                  <c:pt idx="2">
                    <c:v>KW09</c:v>
                  </c:pt>
                  <c:pt idx="3">
                    <c:v>KW10</c:v>
                  </c:pt>
                  <c:pt idx="4">
                    <c:v>KW11</c:v>
                  </c:pt>
                </c:lvl>
              </c:multiLvlStrCache>
            </c:multiLvlStrRef>
          </c:cat>
          <c:val>
            <c:numRef>
              <c:f>P02B!$D$2:$D$6</c:f>
              <c:numCache>
                <c:formatCode>0.00%</c:formatCode>
                <c:ptCount val="5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67-496D-9864-662409DE519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85635487"/>
        <c:axId val="585635903"/>
      </c:lineChart>
      <c:catAx>
        <c:axId val="58563548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85635903"/>
        <c:crosses val="autoZero"/>
        <c:auto val="1"/>
        <c:lblAlgn val="ctr"/>
        <c:lblOffset val="100"/>
        <c:noMultiLvlLbl val="0"/>
      </c:catAx>
      <c:valAx>
        <c:axId val="58563590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85635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p02c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P02C!$C$1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P02C!$A$2:$B$5</c:f>
              <c:multiLvlStrCache>
                <c:ptCount val="4"/>
                <c:lvl>
                  <c:pt idx="0">
                    <c:v>2/28/2025</c:v>
                  </c:pt>
                  <c:pt idx="1">
                    <c:v>3/7/2025</c:v>
                  </c:pt>
                  <c:pt idx="2">
                    <c:v>3/14/2025</c:v>
                  </c:pt>
                  <c:pt idx="3">
                    <c:v>3/20/2025</c:v>
                  </c:pt>
                </c:lvl>
                <c:lvl>
                  <c:pt idx="0">
                    <c:v>KW09</c:v>
                  </c:pt>
                  <c:pt idx="1">
                    <c:v>KW10</c:v>
                  </c:pt>
                  <c:pt idx="2">
                    <c:v>KW11</c:v>
                  </c:pt>
                  <c:pt idx="3">
                    <c:v>KW12</c:v>
                  </c:pt>
                </c:lvl>
              </c:multiLvlStrCache>
            </c:multiLvlStrRef>
          </c:cat>
          <c:val>
            <c:numRef>
              <c:f>P02C!$C$2:$C$5</c:f>
              <c:numCache>
                <c:formatCode>0.00%</c:formatCode>
                <c:ptCount val="4"/>
                <c:pt idx="0">
                  <c:v>0.28904654412555092</c:v>
                </c:pt>
                <c:pt idx="1">
                  <c:v>7.3739653875094055E-2</c:v>
                </c:pt>
                <c:pt idx="2">
                  <c:v>3.8159733419327102E-2</c:v>
                </c:pt>
                <c:pt idx="3">
                  <c:v>3.0957755562721703E-2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0B-42D1-B77E-B640D20C70A6}"/>
            </c:ext>
          </c:extLst>
        </c:ser>
        <c:ser>
          <c:idx val="1"/>
          <c:order val="1"/>
          <c:tx>
            <c:strRef>
              <c:f>P02C!$D$1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P02C!$A$2:$B$5</c:f>
              <c:multiLvlStrCache>
                <c:ptCount val="4"/>
                <c:lvl>
                  <c:pt idx="0">
                    <c:v>2/28/2025</c:v>
                  </c:pt>
                  <c:pt idx="1">
                    <c:v>3/7/2025</c:v>
                  </c:pt>
                  <c:pt idx="2">
                    <c:v>3/14/2025</c:v>
                  </c:pt>
                  <c:pt idx="3">
                    <c:v>3/20/2025</c:v>
                  </c:pt>
                </c:lvl>
                <c:lvl>
                  <c:pt idx="0">
                    <c:v>KW09</c:v>
                  </c:pt>
                  <c:pt idx="1">
                    <c:v>KW10</c:v>
                  </c:pt>
                  <c:pt idx="2">
                    <c:v>KW11</c:v>
                  </c:pt>
                  <c:pt idx="3">
                    <c:v>KW12</c:v>
                  </c:pt>
                </c:lvl>
              </c:multiLvlStrCache>
            </c:multiLvlStrRef>
          </c:cat>
          <c:val>
            <c:numRef>
              <c:f>P02C!$D$2:$D$5</c:f>
              <c:numCache>
                <c:formatCode>0.00%</c:formatCode>
                <c:ptCount val="4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0B-42D1-B77E-B640D20C70A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92953407"/>
        <c:axId val="792954239"/>
      </c:lineChart>
      <c:catAx>
        <c:axId val="79295340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92954239"/>
        <c:crosses val="autoZero"/>
        <c:auto val="1"/>
        <c:lblAlgn val="ctr"/>
        <c:lblOffset val="100"/>
        <c:noMultiLvlLbl val="0"/>
      </c:catAx>
      <c:valAx>
        <c:axId val="79295423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929534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p03a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P03A!$C$1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P03A!$A$2:$B$6</c:f>
              <c:multiLvlStrCache>
                <c:ptCount val="5"/>
                <c:lvl>
                  <c:pt idx="0">
                    <c:v>3/7/2025</c:v>
                  </c:pt>
                  <c:pt idx="1">
                    <c:v>3/14/2025</c:v>
                  </c:pt>
                  <c:pt idx="2">
                    <c:v>3/21/2025</c:v>
                  </c:pt>
                  <c:pt idx="3">
                    <c:v>3/28/2025</c:v>
                  </c:pt>
                  <c:pt idx="4">
                    <c:v>4/2/2025</c:v>
                  </c:pt>
                </c:lvl>
                <c:lvl>
                  <c:pt idx="0">
                    <c:v>KW10</c:v>
                  </c:pt>
                  <c:pt idx="1">
                    <c:v>KW11</c:v>
                  </c:pt>
                  <c:pt idx="2">
                    <c:v>KW12</c:v>
                  </c:pt>
                  <c:pt idx="3">
                    <c:v>KW13</c:v>
                  </c:pt>
                  <c:pt idx="4">
                    <c:v>KW14</c:v>
                  </c:pt>
                </c:lvl>
              </c:multiLvlStrCache>
            </c:multiLvlStrRef>
          </c:cat>
          <c:val>
            <c:numRef>
              <c:f>P03A!$C$2:$C$6</c:f>
              <c:numCache>
                <c:formatCode>0.00%</c:formatCode>
                <c:ptCount val="5"/>
                <c:pt idx="0">
                  <c:v>0.59553267458274517</c:v>
                </c:pt>
                <c:pt idx="1">
                  <c:v>9.9642946109773312E-2</c:v>
                </c:pt>
                <c:pt idx="2">
                  <c:v>5.7294694013119651E-2</c:v>
                </c:pt>
                <c:pt idx="3">
                  <c:v>3.7200033214315371E-2</c:v>
                </c:pt>
                <c:pt idx="4">
                  <c:v>3.0474134351905671E-2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2A-4F1D-A418-27D6B1BE9081}"/>
            </c:ext>
          </c:extLst>
        </c:ser>
        <c:ser>
          <c:idx val="1"/>
          <c:order val="1"/>
          <c:tx>
            <c:strRef>
              <c:f>P03A!$D$1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P03A!$A$2:$B$6</c:f>
              <c:multiLvlStrCache>
                <c:ptCount val="5"/>
                <c:lvl>
                  <c:pt idx="0">
                    <c:v>3/7/2025</c:v>
                  </c:pt>
                  <c:pt idx="1">
                    <c:v>3/14/2025</c:v>
                  </c:pt>
                  <c:pt idx="2">
                    <c:v>3/21/2025</c:v>
                  </c:pt>
                  <c:pt idx="3">
                    <c:v>3/28/2025</c:v>
                  </c:pt>
                  <c:pt idx="4">
                    <c:v>4/2/2025</c:v>
                  </c:pt>
                </c:lvl>
                <c:lvl>
                  <c:pt idx="0">
                    <c:v>KW10</c:v>
                  </c:pt>
                  <c:pt idx="1">
                    <c:v>KW11</c:v>
                  </c:pt>
                  <c:pt idx="2">
                    <c:v>KW12</c:v>
                  </c:pt>
                  <c:pt idx="3">
                    <c:v>KW13</c:v>
                  </c:pt>
                  <c:pt idx="4">
                    <c:v>KW14</c:v>
                  </c:pt>
                </c:lvl>
              </c:multiLvlStrCache>
            </c:multiLvlStrRef>
          </c:cat>
          <c:val>
            <c:numRef>
              <c:f>P03A!$D$2:$D$6</c:f>
              <c:numCache>
                <c:formatCode>0.00%</c:formatCode>
                <c:ptCount val="5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2A-4F1D-A418-27D6B1BE908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85636735"/>
        <c:axId val="585635071"/>
      </c:lineChart>
      <c:catAx>
        <c:axId val="58563673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85635071"/>
        <c:crosses val="autoZero"/>
        <c:auto val="1"/>
        <c:lblAlgn val="ctr"/>
        <c:lblOffset val="100"/>
        <c:noMultiLvlLbl val="0"/>
      </c:catAx>
      <c:valAx>
        <c:axId val="585635071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856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p03b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P03B!$C$1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P03B!$A$2:$B$5</c:f>
              <c:multiLvlStrCache>
                <c:ptCount val="4"/>
                <c:lvl>
                  <c:pt idx="0">
                    <c:v>3/21/2025</c:v>
                  </c:pt>
                  <c:pt idx="1">
                    <c:v>3/28/2025</c:v>
                  </c:pt>
                  <c:pt idx="2">
                    <c:v>4/4/2025</c:v>
                  </c:pt>
                  <c:pt idx="3">
                    <c:v>4/11/2025</c:v>
                  </c:pt>
                </c:lvl>
                <c:lvl>
                  <c:pt idx="0">
                    <c:v>KW12</c:v>
                  </c:pt>
                  <c:pt idx="1">
                    <c:v>KW13</c:v>
                  </c:pt>
                  <c:pt idx="2">
                    <c:v>KW14</c:v>
                  </c:pt>
                  <c:pt idx="3">
                    <c:v>KW15</c:v>
                  </c:pt>
                </c:lvl>
              </c:multiLvlStrCache>
            </c:multiLvlStrRef>
          </c:cat>
          <c:val>
            <c:numRef>
              <c:f>P03B!$C$2:$C$5</c:f>
              <c:numCache>
                <c:formatCode>0.00%</c:formatCode>
                <c:ptCount val="4"/>
                <c:pt idx="0">
                  <c:v>0.11619964294030893</c:v>
                </c:pt>
                <c:pt idx="1">
                  <c:v>5.0919816812854152E-2</c:v>
                </c:pt>
                <c:pt idx="2">
                  <c:v>3.9975161064969338E-2</c:v>
                </c:pt>
                <c:pt idx="3">
                  <c:v>3.2678723899712797E-2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80-4D94-A374-E1D21AE9727E}"/>
            </c:ext>
          </c:extLst>
        </c:ser>
        <c:ser>
          <c:idx val="1"/>
          <c:order val="1"/>
          <c:tx>
            <c:strRef>
              <c:f>P03B!$D$1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P03B!$A$2:$B$5</c:f>
              <c:multiLvlStrCache>
                <c:ptCount val="4"/>
                <c:lvl>
                  <c:pt idx="0">
                    <c:v>3/21/2025</c:v>
                  </c:pt>
                  <c:pt idx="1">
                    <c:v>3/28/2025</c:v>
                  </c:pt>
                  <c:pt idx="2">
                    <c:v>4/4/2025</c:v>
                  </c:pt>
                  <c:pt idx="3">
                    <c:v>4/11/2025</c:v>
                  </c:pt>
                </c:lvl>
                <c:lvl>
                  <c:pt idx="0">
                    <c:v>KW12</c:v>
                  </c:pt>
                  <c:pt idx="1">
                    <c:v>KW13</c:v>
                  </c:pt>
                  <c:pt idx="2">
                    <c:v>KW14</c:v>
                  </c:pt>
                  <c:pt idx="3">
                    <c:v>KW15</c:v>
                  </c:pt>
                </c:lvl>
              </c:multiLvlStrCache>
            </c:multiLvlStrRef>
          </c:cat>
          <c:val>
            <c:numRef>
              <c:f>P03B!$D$2:$D$5</c:f>
              <c:numCache>
                <c:formatCode>0.00%</c:formatCode>
                <c:ptCount val="4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80-4D94-A374-E1D21AE9727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4028047"/>
        <c:axId val="834032623"/>
      </c:lineChart>
      <c:catAx>
        <c:axId val="83402804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34032623"/>
        <c:crosses val="autoZero"/>
        <c:auto val="1"/>
        <c:lblAlgn val="ctr"/>
        <c:lblOffset val="100"/>
        <c:noMultiLvlLbl val="0"/>
      </c:catAx>
      <c:valAx>
        <c:axId val="83403262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340280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p03c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P03C!$C$1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P03C!$A$2:$B$5</c:f>
              <c:multiLvlStrCache>
                <c:ptCount val="4"/>
                <c:lvl>
                  <c:pt idx="0">
                    <c:v>3/28/2025</c:v>
                  </c:pt>
                  <c:pt idx="1">
                    <c:v>4/4/2025</c:v>
                  </c:pt>
                  <c:pt idx="2">
                    <c:v>4/11/2025</c:v>
                  </c:pt>
                  <c:pt idx="3">
                    <c:v>4/17/2025</c:v>
                  </c:pt>
                </c:lvl>
                <c:lvl>
                  <c:pt idx="0">
                    <c:v>KW13</c:v>
                  </c:pt>
                  <c:pt idx="1">
                    <c:v>KW14</c:v>
                  </c:pt>
                  <c:pt idx="2">
                    <c:v>KW15</c:v>
                  </c:pt>
                  <c:pt idx="3">
                    <c:v>KW16</c:v>
                  </c:pt>
                </c:lvl>
              </c:multiLvlStrCache>
            </c:multiLvlStrRef>
          </c:cat>
          <c:val>
            <c:numRef>
              <c:f>P03C!$C$2:$C$5</c:f>
              <c:numCache>
                <c:formatCode>0.00%</c:formatCode>
                <c:ptCount val="4"/>
                <c:pt idx="0">
                  <c:v>0.48448424856626598</c:v>
                </c:pt>
                <c:pt idx="1">
                  <c:v>7.7932280619058839E-2</c:v>
                </c:pt>
                <c:pt idx="2">
                  <c:v>4.8000628486134025E-2</c:v>
                </c:pt>
                <c:pt idx="3">
                  <c:v>3.39E-2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A0-4427-9D20-47158849D74F}"/>
            </c:ext>
          </c:extLst>
        </c:ser>
        <c:ser>
          <c:idx val="1"/>
          <c:order val="1"/>
          <c:tx>
            <c:strRef>
              <c:f>P03C!$D$1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P03C!$A$2:$B$5</c:f>
              <c:multiLvlStrCache>
                <c:ptCount val="4"/>
                <c:lvl>
                  <c:pt idx="0">
                    <c:v>3/28/2025</c:v>
                  </c:pt>
                  <c:pt idx="1">
                    <c:v>4/4/2025</c:v>
                  </c:pt>
                  <c:pt idx="2">
                    <c:v>4/11/2025</c:v>
                  </c:pt>
                  <c:pt idx="3">
                    <c:v>4/17/2025</c:v>
                  </c:pt>
                </c:lvl>
                <c:lvl>
                  <c:pt idx="0">
                    <c:v>KW13</c:v>
                  </c:pt>
                  <c:pt idx="1">
                    <c:v>KW14</c:v>
                  </c:pt>
                  <c:pt idx="2">
                    <c:v>KW15</c:v>
                  </c:pt>
                  <c:pt idx="3">
                    <c:v>KW16</c:v>
                  </c:pt>
                </c:lvl>
              </c:multiLvlStrCache>
            </c:multiLvlStrRef>
          </c:cat>
          <c:val>
            <c:numRef>
              <c:f>P03C!$D$2:$D$5</c:f>
              <c:numCache>
                <c:formatCode>0.00%</c:formatCode>
                <c:ptCount val="4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A0-4427-9D20-47158849D74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4029711"/>
        <c:axId val="834037199"/>
      </c:lineChart>
      <c:catAx>
        <c:axId val="834029711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34037199"/>
        <c:crosses val="autoZero"/>
        <c:auto val="1"/>
        <c:lblAlgn val="ctr"/>
        <c:lblOffset val="100"/>
        <c:noMultiLvlLbl val="0"/>
      </c:catAx>
      <c:valAx>
        <c:axId val="83403719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340297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p04a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P04A!$C$1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P04A!$A$2:$B$5</c:f>
              <c:multiLvlStrCache>
                <c:ptCount val="4"/>
                <c:lvl>
                  <c:pt idx="0">
                    <c:v>4/11/2025</c:v>
                  </c:pt>
                  <c:pt idx="1">
                    <c:v>4/18/2025</c:v>
                  </c:pt>
                  <c:pt idx="2">
                    <c:v>4/25/2025</c:v>
                  </c:pt>
                  <c:pt idx="3">
                    <c:v>4/30/2025</c:v>
                  </c:pt>
                </c:lvl>
                <c:lvl>
                  <c:pt idx="0">
                    <c:v>KW15</c:v>
                  </c:pt>
                  <c:pt idx="1">
                    <c:v>KW16</c:v>
                  </c:pt>
                  <c:pt idx="2">
                    <c:v>KW17</c:v>
                  </c:pt>
                  <c:pt idx="3">
                    <c:v>KW18</c:v>
                  </c:pt>
                </c:lvl>
              </c:multiLvlStrCache>
            </c:multiLvlStrRef>
          </c:cat>
          <c:val>
            <c:numRef>
              <c:f>P04A!$C$2:$C$5</c:f>
              <c:numCache>
                <c:formatCode>0.00%</c:formatCode>
                <c:ptCount val="4"/>
                <c:pt idx="0">
                  <c:v>0.4356225077536553</c:v>
                </c:pt>
                <c:pt idx="1">
                  <c:v>8.0799999999999997E-2</c:v>
                </c:pt>
                <c:pt idx="2">
                  <c:v>5.1299999999999998E-2</c:v>
                </c:pt>
                <c:pt idx="3">
                  <c:v>3.1723526805494021E-2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FE-4B10-8BF4-2F99137DDF1F}"/>
            </c:ext>
          </c:extLst>
        </c:ser>
        <c:ser>
          <c:idx val="1"/>
          <c:order val="1"/>
          <c:tx>
            <c:strRef>
              <c:f>P04A!$D$1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P04A!$A$2:$B$5</c:f>
              <c:multiLvlStrCache>
                <c:ptCount val="4"/>
                <c:lvl>
                  <c:pt idx="0">
                    <c:v>4/11/2025</c:v>
                  </c:pt>
                  <c:pt idx="1">
                    <c:v>4/18/2025</c:v>
                  </c:pt>
                  <c:pt idx="2">
                    <c:v>4/25/2025</c:v>
                  </c:pt>
                  <c:pt idx="3">
                    <c:v>4/30/2025</c:v>
                  </c:pt>
                </c:lvl>
                <c:lvl>
                  <c:pt idx="0">
                    <c:v>KW15</c:v>
                  </c:pt>
                  <c:pt idx="1">
                    <c:v>KW16</c:v>
                  </c:pt>
                  <c:pt idx="2">
                    <c:v>KW17</c:v>
                  </c:pt>
                  <c:pt idx="3">
                    <c:v>KW18</c:v>
                  </c:pt>
                </c:lvl>
              </c:multiLvlStrCache>
            </c:multiLvlStrRef>
          </c:cat>
          <c:val>
            <c:numRef>
              <c:f>P04A!$D$2:$D$5</c:f>
              <c:numCache>
                <c:formatCode>0.00%</c:formatCode>
                <c:ptCount val="4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FE-4B10-8BF4-2F99137DDF1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4014319"/>
        <c:axId val="834020559"/>
      </c:lineChart>
      <c:catAx>
        <c:axId val="834014319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34020559"/>
        <c:crosses val="autoZero"/>
        <c:auto val="1"/>
        <c:lblAlgn val="ctr"/>
        <c:lblOffset val="100"/>
        <c:noMultiLvlLbl val="0"/>
      </c:catAx>
      <c:valAx>
        <c:axId val="8340205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340143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p04b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P04B!$C$1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P04B!$A$2:$B$5</c:f>
              <c:multiLvlStrCache>
                <c:ptCount val="4"/>
                <c:lvl>
                  <c:pt idx="0">
                    <c:v>4/18/2025</c:v>
                  </c:pt>
                  <c:pt idx="1">
                    <c:v>4/25/2025</c:v>
                  </c:pt>
                  <c:pt idx="2">
                    <c:v>5/2/2025</c:v>
                  </c:pt>
                  <c:pt idx="3">
                    <c:v>5/9/2025</c:v>
                  </c:pt>
                </c:lvl>
                <c:lvl>
                  <c:pt idx="0">
                    <c:v>KW16</c:v>
                  </c:pt>
                  <c:pt idx="1">
                    <c:v>KW17</c:v>
                  </c:pt>
                  <c:pt idx="2">
                    <c:v>KW18</c:v>
                  </c:pt>
                  <c:pt idx="3">
                    <c:v>KW19</c:v>
                  </c:pt>
                </c:lvl>
              </c:multiLvlStrCache>
            </c:multiLvlStrRef>
          </c:cat>
          <c:val>
            <c:numRef>
              <c:f>P04B!$C$2:$C$5</c:f>
              <c:numCache>
                <c:formatCode>0.00%</c:formatCode>
                <c:ptCount val="4"/>
                <c:pt idx="0">
                  <c:v>0.72499999999999998</c:v>
                </c:pt>
                <c:pt idx="1">
                  <c:v>0.4012</c:v>
                </c:pt>
                <c:pt idx="2">
                  <c:v>7.2700000000000001E-2</c:v>
                </c:pt>
                <c:pt idx="3">
                  <c:v>4.208955223880597E-2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C5-4D79-A5AF-795F14F01800}"/>
            </c:ext>
          </c:extLst>
        </c:ser>
        <c:ser>
          <c:idx val="1"/>
          <c:order val="1"/>
          <c:tx>
            <c:strRef>
              <c:f>P04B!$D$1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P04B!$A$2:$B$5</c:f>
              <c:multiLvlStrCache>
                <c:ptCount val="4"/>
                <c:lvl>
                  <c:pt idx="0">
                    <c:v>4/18/2025</c:v>
                  </c:pt>
                  <c:pt idx="1">
                    <c:v>4/25/2025</c:v>
                  </c:pt>
                  <c:pt idx="2">
                    <c:v>5/2/2025</c:v>
                  </c:pt>
                  <c:pt idx="3">
                    <c:v>5/9/2025</c:v>
                  </c:pt>
                </c:lvl>
                <c:lvl>
                  <c:pt idx="0">
                    <c:v>KW16</c:v>
                  </c:pt>
                  <c:pt idx="1">
                    <c:v>KW17</c:v>
                  </c:pt>
                  <c:pt idx="2">
                    <c:v>KW18</c:v>
                  </c:pt>
                  <c:pt idx="3">
                    <c:v>KW19</c:v>
                  </c:pt>
                </c:lvl>
              </c:multiLvlStrCache>
            </c:multiLvlStrRef>
          </c:cat>
          <c:val>
            <c:numRef>
              <c:f>P04B!$D$2:$D$5</c:f>
              <c:numCache>
                <c:formatCode>0.00%</c:formatCode>
                <c:ptCount val="4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C5-4D79-A5AF-795F14F0180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90075855"/>
        <c:axId val="890077519"/>
      </c:lineChart>
      <c:catAx>
        <c:axId val="89007585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90077519"/>
        <c:crosses val="autoZero"/>
        <c:auto val="1"/>
        <c:lblAlgn val="ctr"/>
        <c:lblOffset val="100"/>
        <c:noMultiLvlLbl val="0"/>
      </c:catAx>
      <c:valAx>
        <c:axId val="89007751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9007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p04c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P04C!$C$1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P04C!$A$2:$B$5</c:f>
              <c:multiLvlStrCache>
                <c:ptCount val="4"/>
                <c:lvl>
                  <c:pt idx="0">
                    <c:v>5/2/2025</c:v>
                  </c:pt>
                  <c:pt idx="1">
                    <c:v>5/9/2025</c:v>
                  </c:pt>
                  <c:pt idx="2">
                    <c:v>5/16/2025</c:v>
                  </c:pt>
                  <c:pt idx="3">
                    <c:v>5/23/2025</c:v>
                  </c:pt>
                </c:lvl>
                <c:lvl>
                  <c:pt idx="0">
                    <c:v>KW18</c:v>
                  </c:pt>
                  <c:pt idx="1">
                    <c:v>KW19</c:v>
                  </c:pt>
                  <c:pt idx="2">
                    <c:v>KW20</c:v>
                  </c:pt>
                  <c:pt idx="3">
                    <c:v>KW21</c:v>
                  </c:pt>
                </c:lvl>
              </c:multiLvlStrCache>
            </c:multiLvlStrRef>
          </c:cat>
          <c:val>
            <c:numRef>
              <c:f>P04C!$C$2:$C$5</c:f>
              <c:numCache>
                <c:formatCode>0.00%</c:formatCode>
                <c:ptCount val="4"/>
                <c:pt idx="0">
                  <c:v>0.77769999999999995</c:v>
                </c:pt>
                <c:pt idx="1">
                  <c:v>0.24064432150992515</c:v>
                </c:pt>
                <c:pt idx="2">
                  <c:v>5.8249267816465992E-2</c:v>
                </c:pt>
                <c:pt idx="3">
                  <c:v>3.9781972014318254E-2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67-4875-B926-CFD999A78A52}"/>
            </c:ext>
          </c:extLst>
        </c:ser>
        <c:ser>
          <c:idx val="1"/>
          <c:order val="1"/>
          <c:tx>
            <c:strRef>
              <c:f>P04C!$D$1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P04C!$A$2:$B$5</c:f>
              <c:multiLvlStrCache>
                <c:ptCount val="4"/>
                <c:lvl>
                  <c:pt idx="0">
                    <c:v>5/2/2025</c:v>
                  </c:pt>
                  <c:pt idx="1">
                    <c:v>5/9/2025</c:v>
                  </c:pt>
                  <c:pt idx="2">
                    <c:v>5/16/2025</c:v>
                  </c:pt>
                  <c:pt idx="3">
                    <c:v>5/23/2025</c:v>
                  </c:pt>
                </c:lvl>
                <c:lvl>
                  <c:pt idx="0">
                    <c:v>KW18</c:v>
                  </c:pt>
                  <c:pt idx="1">
                    <c:v>KW19</c:v>
                  </c:pt>
                  <c:pt idx="2">
                    <c:v>KW20</c:v>
                  </c:pt>
                  <c:pt idx="3">
                    <c:v>KW21</c:v>
                  </c:pt>
                </c:lvl>
              </c:multiLvlStrCache>
            </c:multiLvlStrRef>
          </c:cat>
          <c:val>
            <c:numRef>
              <c:f>P04C!$D$2:$D$5</c:f>
              <c:numCache>
                <c:formatCode>0.00%</c:formatCode>
                <c:ptCount val="4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67-4875-B926-CFD999A78A5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82772655"/>
        <c:axId val="882788047"/>
      </c:lineChart>
      <c:catAx>
        <c:axId val="88277265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82788047"/>
        <c:crosses val="autoZero"/>
        <c:auto val="1"/>
        <c:lblAlgn val="ctr"/>
        <c:lblOffset val="100"/>
        <c:noMultiLvlLbl val="0"/>
      </c:catAx>
      <c:valAx>
        <c:axId val="88278804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827726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p05b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P05B!$C$1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P05B!$A$2:$B$7</c:f>
              <c:multiLvlStrCache>
                <c:ptCount val="6"/>
                <c:lvl>
                  <c:pt idx="0">
                    <c:v>5/16/2025</c:v>
                  </c:pt>
                  <c:pt idx="1">
                    <c:v>5/23/2025</c:v>
                  </c:pt>
                  <c:pt idx="2">
                    <c:v>5/30/2025</c:v>
                  </c:pt>
                  <c:pt idx="3">
                    <c:v>6/6/2025</c:v>
                  </c:pt>
                  <c:pt idx="4">
                    <c:v>6/13/2025</c:v>
                  </c:pt>
                  <c:pt idx="5">
                    <c:v>6/17/2025</c:v>
                  </c:pt>
                </c:lvl>
                <c:lvl>
                  <c:pt idx="0">
                    <c:v>KW20</c:v>
                  </c:pt>
                  <c:pt idx="1">
                    <c:v>KW21</c:v>
                  </c:pt>
                  <c:pt idx="2">
                    <c:v>KW22</c:v>
                  </c:pt>
                  <c:pt idx="3">
                    <c:v>KW23</c:v>
                  </c:pt>
                  <c:pt idx="4">
                    <c:v>KW24</c:v>
                  </c:pt>
                  <c:pt idx="5">
                    <c:v>KW25</c:v>
                  </c:pt>
                </c:lvl>
              </c:multiLvlStrCache>
            </c:multiLvlStrRef>
          </c:cat>
          <c:val>
            <c:numRef>
              <c:f>P05B!$C$2:$C$7</c:f>
              <c:numCache>
                <c:formatCode>0.00%</c:formatCode>
                <c:ptCount val="6"/>
                <c:pt idx="0">
                  <c:v>0.52019785655399831</c:v>
                </c:pt>
                <c:pt idx="1">
                  <c:v>0.22606943299441237</c:v>
                </c:pt>
                <c:pt idx="2">
                  <c:v>0.19139999999999999</c:v>
                </c:pt>
                <c:pt idx="3">
                  <c:v>8.3500000000000005E-2</c:v>
                </c:pt>
                <c:pt idx="4">
                  <c:v>6.9000000000000006E-2</c:v>
                </c:pt>
                <c:pt idx="5">
                  <c:v>4.584592836859943E-2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59-40BF-919B-C317FAAB53B2}"/>
            </c:ext>
          </c:extLst>
        </c:ser>
        <c:ser>
          <c:idx val="1"/>
          <c:order val="1"/>
          <c:tx>
            <c:strRef>
              <c:f>P05B!$D$1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P05B!$A$2:$B$7</c:f>
              <c:multiLvlStrCache>
                <c:ptCount val="6"/>
                <c:lvl>
                  <c:pt idx="0">
                    <c:v>5/16/2025</c:v>
                  </c:pt>
                  <c:pt idx="1">
                    <c:v>5/23/2025</c:v>
                  </c:pt>
                  <c:pt idx="2">
                    <c:v>5/30/2025</c:v>
                  </c:pt>
                  <c:pt idx="3">
                    <c:v>6/6/2025</c:v>
                  </c:pt>
                  <c:pt idx="4">
                    <c:v>6/13/2025</c:v>
                  </c:pt>
                  <c:pt idx="5">
                    <c:v>6/17/2025</c:v>
                  </c:pt>
                </c:lvl>
                <c:lvl>
                  <c:pt idx="0">
                    <c:v>KW20</c:v>
                  </c:pt>
                  <c:pt idx="1">
                    <c:v>KW21</c:v>
                  </c:pt>
                  <c:pt idx="2">
                    <c:v>KW22</c:v>
                  </c:pt>
                  <c:pt idx="3">
                    <c:v>KW23</c:v>
                  </c:pt>
                  <c:pt idx="4">
                    <c:v>KW24</c:v>
                  </c:pt>
                  <c:pt idx="5">
                    <c:v>KW25</c:v>
                  </c:pt>
                </c:lvl>
              </c:multiLvlStrCache>
            </c:multiLvlStrRef>
          </c:cat>
          <c:val>
            <c:numRef>
              <c:f>P05B!$D$2:$D$7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59-40BF-919B-C317FAAB53B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7342031"/>
        <c:axId val="767337039"/>
      </c:lineChart>
      <c:catAx>
        <c:axId val="767342031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7337039"/>
        <c:crosses val="autoZero"/>
        <c:auto val="1"/>
        <c:lblAlgn val="ctr"/>
        <c:lblOffset val="100"/>
        <c:noMultiLvlLbl val="0"/>
      </c:catAx>
      <c:valAx>
        <c:axId val="76733703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73420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p05c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P05C!$C$1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P05C!$A$2:$B$6</c:f>
              <c:multiLvlStrCache>
                <c:ptCount val="5"/>
                <c:lvl>
                  <c:pt idx="0">
                    <c:v>5/16/2025</c:v>
                  </c:pt>
                  <c:pt idx="1">
                    <c:v>5/23/2025</c:v>
                  </c:pt>
                  <c:pt idx="2">
                    <c:v>5/30/2025</c:v>
                  </c:pt>
                  <c:pt idx="3">
                    <c:v>6/3/2025</c:v>
                  </c:pt>
                  <c:pt idx="4">
                    <c:v>6/13/2025</c:v>
                  </c:pt>
                </c:lvl>
                <c:lvl>
                  <c:pt idx="0">
                    <c:v>KW20</c:v>
                  </c:pt>
                  <c:pt idx="1">
                    <c:v>KW21</c:v>
                  </c:pt>
                  <c:pt idx="2">
                    <c:v>KW22</c:v>
                  </c:pt>
                  <c:pt idx="3">
                    <c:v>KW23</c:v>
                  </c:pt>
                  <c:pt idx="4">
                    <c:v>KW24</c:v>
                  </c:pt>
                </c:lvl>
              </c:multiLvlStrCache>
            </c:multiLvlStrRef>
          </c:cat>
          <c:val>
            <c:numRef>
              <c:f>P05C!$C$2:$C$6</c:f>
              <c:numCache>
                <c:formatCode>0.00%</c:formatCode>
                <c:ptCount val="5"/>
                <c:pt idx="0">
                  <c:v>0.27777777777777779</c:v>
                </c:pt>
                <c:pt idx="1">
                  <c:v>0.24305555555555555</c:v>
                </c:pt>
                <c:pt idx="2">
                  <c:v>0.2387</c:v>
                </c:pt>
                <c:pt idx="3">
                  <c:v>0.2135</c:v>
                </c:pt>
                <c:pt idx="4">
                  <c:v>0.2013888888888889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36-4CBC-B717-81DFC09DAC95}"/>
            </c:ext>
          </c:extLst>
        </c:ser>
        <c:ser>
          <c:idx val="1"/>
          <c:order val="1"/>
          <c:tx>
            <c:strRef>
              <c:f>P05C!$D$1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P05C!$A$2:$B$6</c:f>
              <c:multiLvlStrCache>
                <c:ptCount val="5"/>
                <c:lvl>
                  <c:pt idx="0">
                    <c:v>5/16/2025</c:v>
                  </c:pt>
                  <c:pt idx="1">
                    <c:v>5/23/2025</c:v>
                  </c:pt>
                  <c:pt idx="2">
                    <c:v>5/30/2025</c:v>
                  </c:pt>
                  <c:pt idx="3">
                    <c:v>6/3/2025</c:v>
                  </c:pt>
                  <c:pt idx="4">
                    <c:v>6/13/2025</c:v>
                  </c:pt>
                </c:lvl>
                <c:lvl>
                  <c:pt idx="0">
                    <c:v>KW20</c:v>
                  </c:pt>
                  <c:pt idx="1">
                    <c:v>KW21</c:v>
                  </c:pt>
                  <c:pt idx="2">
                    <c:v>KW22</c:v>
                  </c:pt>
                  <c:pt idx="3">
                    <c:v>KW23</c:v>
                  </c:pt>
                  <c:pt idx="4">
                    <c:v>KW24</c:v>
                  </c:pt>
                </c:lvl>
              </c:multiLvlStrCache>
            </c:multiLvlStrRef>
          </c:cat>
          <c:val>
            <c:numRef>
              <c:f>P05C!$D$2:$D$6</c:f>
              <c:numCache>
                <c:formatCode>0.00%</c:formatCode>
                <c:ptCount val="5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36-4CBC-B717-81DFC09DAC9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p06a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P06A!$C$1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P06A!$A$2:$B$6</c:f>
              <c:multiLvlStrCache>
                <c:ptCount val="5"/>
                <c:lvl>
                  <c:pt idx="0">
                    <c:v>6/6/2025</c:v>
                  </c:pt>
                  <c:pt idx="1">
                    <c:v>6/13/2025</c:v>
                  </c:pt>
                  <c:pt idx="2">
                    <c:v>6/20/2025</c:v>
                  </c:pt>
                  <c:pt idx="3">
                    <c:v>6/27/2025</c:v>
                  </c:pt>
                  <c:pt idx="4">
                    <c:v>7/3/2025</c:v>
                  </c:pt>
                </c:lvl>
                <c:lvl>
                  <c:pt idx="0">
                    <c:v>KW23</c:v>
                  </c:pt>
                  <c:pt idx="1">
                    <c:v>KW24</c:v>
                  </c:pt>
                  <c:pt idx="2">
                    <c:v>KW25</c:v>
                  </c:pt>
                  <c:pt idx="3">
                    <c:v>KW26</c:v>
                  </c:pt>
                  <c:pt idx="4">
                    <c:v>KW27</c:v>
                  </c:pt>
                </c:lvl>
              </c:multiLvlStrCache>
            </c:multiLvlStrRef>
          </c:cat>
          <c:val>
            <c:numRef>
              <c:f>P06A!$C$2:$C$6</c:f>
              <c:numCache>
                <c:formatCode>0.00%</c:formatCode>
                <c:ptCount val="5"/>
                <c:pt idx="0">
                  <c:v>0.26190000000000002</c:v>
                </c:pt>
                <c:pt idx="1">
                  <c:v>0.2382</c:v>
                </c:pt>
                <c:pt idx="2">
                  <c:v>0.12870000000000001</c:v>
                </c:pt>
                <c:pt idx="3">
                  <c:v>6.4064474268346827E-2</c:v>
                </c:pt>
                <c:pt idx="4">
                  <c:v>4.005737117098658E-2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5F-477B-BCA3-9147A82A9E6A}"/>
            </c:ext>
          </c:extLst>
        </c:ser>
        <c:ser>
          <c:idx val="1"/>
          <c:order val="1"/>
          <c:tx>
            <c:strRef>
              <c:f>P06A!$D$1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P06A!$A$2:$B$6</c:f>
              <c:multiLvlStrCache>
                <c:ptCount val="5"/>
                <c:lvl>
                  <c:pt idx="0">
                    <c:v>6/6/2025</c:v>
                  </c:pt>
                  <c:pt idx="1">
                    <c:v>6/13/2025</c:v>
                  </c:pt>
                  <c:pt idx="2">
                    <c:v>6/20/2025</c:v>
                  </c:pt>
                  <c:pt idx="3">
                    <c:v>6/27/2025</c:v>
                  </c:pt>
                  <c:pt idx="4">
                    <c:v>7/3/2025</c:v>
                  </c:pt>
                </c:lvl>
                <c:lvl>
                  <c:pt idx="0">
                    <c:v>KW23</c:v>
                  </c:pt>
                  <c:pt idx="1">
                    <c:v>KW24</c:v>
                  </c:pt>
                  <c:pt idx="2">
                    <c:v>KW25</c:v>
                  </c:pt>
                  <c:pt idx="3">
                    <c:v>KW26</c:v>
                  </c:pt>
                  <c:pt idx="4">
                    <c:v>KW27</c:v>
                  </c:pt>
                </c:lvl>
              </c:multiLvlStrCache>
            </c:multiLvlStrRef>
          </c:cat>
          <c:val>
            <c:numRef>
              <c:f>P06A!$D$2:$D$6</c:f>
              <c:numCache>
                <c:formatCode>0.00%</c:formatCode>
                <c:ptCount val="5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5F-477B-BCA3-9147A82A9E6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p07c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P07C!$C$1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P07C!$A$2:$B$5</c:f>
              <c:multiLvlStrCache>
                <c:ptCount val="4"/>
                <c:lvl>
                  <c:pt idx="0">
                    <c:v>7/25/2025</c:v>
                  </c:pt>
                  <c:pt idx="1">
                    <c:v>8/1/2025</c:v>
                  </c:pt>
                  <c:pt idx="2">
                    <c:v>8/8/2025</c:v>
                  </c:pt>
                  <c:pt idx="3">
                    <c:v>8/15/2025</c:v>
                  </c:pt>
                </c:lvl>
                <c:lvl>
                  <c:pt idx="0">
                    <c:v>KW30</c:v>
                  </c:pt>
                  <c:pt idx="1">
                    <c:v>KW31</c:v>
                  </c:pt>
                  <c:pt idx="2">
                    <c:v>KW32</c:v>
                  </c:pt>
                  <c:pt idx="3">
                    <c:v>KW33</c:v>
                  </c:pt>
                </c:lvl>
              </c:multiLvlStrCache>
            </c:multiLvlStrRef>
          </c:cat>
          <c:val>
            <c:numRef>
              <c:f>P07C!$C$2:$C$5</c:f>
              <c:numCache>
                <c:formatCode>0.00%</c:formatCode>
                <c:ptCount val="4"/>
                <c:pt idx="0">
                  <c:v>0.83320000000000005</c:v>
                </c:pt>
                <c:pt idx="1">
                  <c:v>0.35139999999999999</c:v>
                </c:pt>
                <c:pt idx="2">
                  <c:v>0.13286713286713286</c:v>
                </c:pt>
                <c:pt idx="3">
                  <c:v>7.3076923076923081E-2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56-4628-B523-0F369E98424B}"/>
            </c:ext>
          </c:extLst>
        </c:ser>
        <c:ser>
          <c:idx val="1"/>
          <c:order val="1"/>
          <c:tx>
            <c:strRef>
              <c:f>P07C!$D$1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P07C!$A$2:$B$5</c:f>
              <c:multiLvlStrCache>
                <c:ptCount val="4"/>
                <c:lvl>
                  <c:pt idx="0">
                    <c:v>7/25/2025</c:v>
                  </c:pt>
                  <c:pt idx="1">
                    <c:v>8/1/2025</c:v>
                  </c:pt>
                  <c:pt idx="2">
                    <c:v>8/8/2025</c:v>
                  </c:pt>
                  <c:pt idx="3">
                    <c:v>8/15/2025</c:v>
                  </c:pt>
                </c:lvl>
                <c:lvl>
                  <c:pt idx="0">
                    <c:v>KW30</c:v>
                  </c:pt>
                  <c:pt idx="1">
                    <c:v>KW31</c:v>
                  </c:pt>
                  <c:pt idx="2">
                    <c:v>KW32</c:v>
                  </c:pt>
                  <c:pt idx="3">
                    <c:v>KW33</c:v>
                  </c:pt>
                </c:lvl>
              </c:multiLvlStrCache>
            </c:multiLvlStrRef>
          </c:cat>
          <c:val>
            <c:numRef>
              <c:f>P07C!$D$2:$D$5</c:f>
              <c:numCache>
                <c:formatCode>0.00%</c:formatCode>
                <c:ptCount val="4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56-4628-B523-0F369E98424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p08a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P08A!$C$1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P08A!$A$2:$B$7</c:f>
              <c:multiLvlStrCache>
                <c:ptCount val="6"/>
                <c:lvl>
                  <c:pt idx="0">
                    <c:v>7/25/2025</c:v>
                  </c:pt>
                  <c:pt idx="1">
                    <c:v>8/1/2025</c:v>
                  </c:pt>
                  <c:pt idx="2">
                    <c:v>8/8/2025</c:v>
                  </c:pt>
                  <c:pt idx="3">
                    <c:v>8/15/2025</c:v>
                  </c:pt>
                  <c:pt idx="4">
                    <c:v>8/22/2025</c:v>
                  </c:pt>
                  <c:pt idx="5">
                    <c:v>8/29/2025</c:v>
                  </c:pt>
                </c:lvl>
                <c:lvl>
                  <c:pt idx="0">
                    <c:v>KW30</c:v>
                  </c:pt>
                  <c:pt idx="1">
                    <c:v>KW31</c:v>
                  </c:pt>
                  <c:pt idx="2">
                    <c:v>KW32</c:v>
                  </c:pt>
                  <c:pt idx="3">
                    <c:v>KW33</c:v>
                  </c:pt>
                  <c:pt idx="4">
                    <c:v>KW34</c:v>
                  </c:pt>
                  <c:pt idx="5">
                    <c:v>KW35</c:v>
                  </c:pt>
                </c:lvl>
              </c:multiLvlStrCache>
            </c:multiLvlStrRef>
          </c:cat>
          <c:val>
            <c:numRef>
              <c:f>P08A!$C$2:$C$7</c:f>
              <c:numCache>
                <c:formatCode>0.00%</c:formatCode>
                <c:ptCount val="6"/>
                <c:pt idx="0">
                  <c:v>0.93269999999999997</c:v>
                </c:pt>
                <c:pt idx="1">
                  <c:v>0.52110000000000001</c:v>
                </c:pt>
                <c:pt idx="2">
                  <c:v>0.20998369058713887</c:v>
                </c:pt>
                <c:pt idx="3">
                  <c:v>0.14690121155638397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40-44AB-8C42-8F98AFFFCAAE}"/>
            </c:ext>
          </c:extLst>
        </c:ser>
        <c:ser>
          <c:idx val="1"/>
          <c:order val="1"/>
          <c:tx>
            <c:strRef>
              <c:f>P08A!$D$1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P08A!$A$2:$B$7</c:f>
              <c:multiLvlStrCache>
                <c:ptCount val="6"/>
                <c:lvl>
                  <c:pt idx="0">
                    <c:v>7/25/2025</c:v>
                  </c:pt>
                  <c:pt idx="1">
                    <c:v>8/1/2025</c:v>
                  </c:pt>
                  <c:pt idx="2">
                    <c:v>8/8/2025</c:v>
                  </c:pt>
                  <c:pt idx="3">
                    <c:v>8/15/2025</c:v>
                  </c:pt>
                  <c:pt idx="4">
                    <c:v>8/22/2025</c:v>
                  </c:pt>
                  <c:pt idx="5">
                    <c:v>8/29/2025</c:v>
                  </c:pt>
                </c:lvl>
                <c:lvl>
                  <c:pt idx="0">
                    <c:v>KW30</c:v>
                  </c:pt>
                  <c:pt idx="1">
                    <c:v>KW31</c:v>
                  </c:pt>
                  <c:pt idx="2">
                    <c:v>KW32</c:v>
                  </c:pt>
                  <c:pt idx="3">
                    <c:v>KW33</c:v>
                  </c:pt>
                  <c:pt idx="4">
                    <c:v>KW34</c:v>
                  </c:pt>
                  <c:pt idx="5">
                    <c:v>KW35</c:v>
                  </c:pt>
                </c:lvl>
              </c:multiLvlStrCache>
            </c:multiLvlStrRef>
          </c:cat>
          <c:val>
            <c:numRef>
              <c:f>P08A!$D$2:$D$7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40-44AB-8C42-8F98AFFFCAA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p08b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P08B!$C$1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P08B!$A$2:$B$7</c:f>
              <c:multiLvlStrCache>
                <c:ptCount val="6"/>
                <c:lvl>
                  <c:pt idx="0">
                    <c:v>8/15/2025</c:v>
                  </c:pt>
                  <c:pt idx="1">
                    <c:v>8/22/2025</c:v>
                  </c:pt>
                  <c:pt idx="2">
                    <c:v>8/29/2025</c:v>
                  </c:pt>
                  <c:pt idx="3">
                    <c:v>9/5/2025</c:v>
                  </c:pt>
                  <c:pt idx="4">
                    <c:v>9/12/2025</c:v>
                  </c:pt>
                  <c:pt idx="5">
                    <c:v>9/17/2025</c:v>
                  </c:pt>
                </c:lvl>
                <c:lvl>
                  <c:pt idx="0">
                    <c:v>KW33</c:v>
                  </c:pt>
                  <c:pt idx="1">
                    <c:v>KW34</c:v>
                  </c:pt>
                  <c:pt idx="2">
                    <c:v>KW35</c:v>
                  </c:pt>
                  <c:pt idx="3">
                    <c:v>KW36</c:v>
                  </c:pt>
                  <c:pt idx="4">
                    <c:v>KW37</c:v>
                  </c:pt>
                  <c:pt idx="5">
                    <c:v>KW38</c:v>
                  </c:pt>
                </c:lvl>
              </c:multiLvlStrCache>
            </c:multiLvlStrRef>
          </c:cat>
          <c:val>
            <c:numRef>
              <c:f>P08B!$C$2:$C$7</c:f>
              <c:numCache>
                <c:formatCode>0.00%</c:formatCode>
                <c:ptCount val="6"/>
                <c:pt idx="0">
                  <c:v>0.4991692380726323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26-48F1-BA04-6545ECD07274}"/>
            </c:ext>
          </c:extLst>
        </c:ser>
        <c:ser>
          <c:idx val="1"/>
          <c:order val="1"/>
          <c:tx>
            <c:strRef>
              <c:f>P08B!$D$1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P08B!$A$2:$B$7</c:f>
              <c:multiLvlStrCache>
                <c:ptCount val="6"/>
                <c:lvl>
                  <c:pt idx="0">
                    <c:v>8/15/2025</c:v>
                  </c:pt>
                  <c:pt idx="1">
                    <c:v>8/22/2025</c:v>
                  </c:pt>
                  <c:pt idx="2">
                    <c:v>8/29/2025</c:v>
                  </c:pt>
                  <c:pt idx="3">
                    <c:v>9/5/2025</c:v>
                  </c:pt>
                  <c:pt idx="4">
                    <c:v>9/12/2025</c:v>
                  </c:pt>
                  <c:pt idx="5">
                    <c:v>9/17/2025</c:v>
                  </c:pt>
                </c:lvl>
                <c:lvl>
                  <c:pt idx="0">
                    <c:v>KW33</c:v>
                  </c:pt>
                  <c:pt idx="1">
                    <c:v>KW34</c:v>
                  </c:pt>
                  <c:pt idx="2">
                    <c:v>KW35</c:v>
                  </c:pt>
                  <c:pt idx="3">
                    <c:v>KW36</c:v>
                  </c:pt>
                  <c:pt idx="4">
                    <c:v>KW37</c:v>
                  </c:pt>
                  <c:pt idx="5">
                    <c:v>KW38</c:v>
                  </c:pt>
                </c:lvl>
              </c:multiLvlStrCache>
            </c:multiLvlStrRef>
          </c:cat>
          <c:val>
            <c:numRef>
              <c:f>P08B!$D$2:$D$7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26-48F1-BA04-6545ECD0727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p09a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P09A!$C$1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P09A!$A$2:$B$8</c:f>
              <c:multiLvlStrCache>
                <c:ptCount val="7"/>
                <c:lvl>
                  <c:pt idx="0">
                    <c:v>8/22/2025</c:v>
                  </c:pt>
                  <c:pt idx="1">
                    <c:v>8/29/2025</c:v>
                  </c:pt>
                  <c:pt idx="2">
                    <c:v>9/5/2025</c:v>
                  </c:pt>
                  <c:pt idx="3">
                    <c:v>9/12/2025</c:v>
                  </c:pt>
                  <c:pt idx="4">
                    <c:v>9/19/2025</c:v>
                  </c:pt>
                  <c:pt idx="5">
                    <c:v>9/26/2025</c:v>
                  </c:pt>
                  <c:pt idx="6">
                    <c:v>10/2/2025</c:v>
                  </c:pt>
                </c:lvl>
                <c:lvl>
                  <c:pt idx="0">
                    <c:v>KW34</c:v>
                  </c:pt>
                  <c:pt idx="1">
                    <c:v>KW35</c:v>
                  </c:pt>
                  <c:pt idx="2">
                    <c:v>KW36</c:v>
                  </c:pt>
                  <c:pt idx="3">
                    <c:v>KW37</c:v>
                  </c:pt>
                  <c:pt idx="4">
                    <c:v>KW38</c:v>
                  </c:pt>
                  <c:pt idx="5">
                    <c:v>KW39</c:v>
                  </c:pt>
                  <c:pt idx="6">
                    <c:v>KW40</c:v>
                  </c:pt>
                </c:lvl>
              </c:multiLvlStrCache>
            </c:multiLvlStrRef>
          </c:cat>
          <c:val>
            <c:numRef>
              <c:f>P09A!$C$2:$C$8</c:f>
              <c:numCache>
                <c:formatCode>0.00%</c:formatCode>
                <c:ptCount val="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6C-4BD9-96D9-54355E24881B}"/>
            </c:ext>
          </c:extLst>
        </c:ser>
        <c:ser>
          <c:idx val="1"/>
          <c:order val="1"/>
          <c:tx>
            <c:strRef>
              <c:f>P09A!$D$1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P09A!$A$2:$B$8</c:f>
              <c:multiLvlStrCache>
                <c:ptCount val="7"/>
                <c:lvl>
                  <c:pt idx="0">
                    <c:v>8/22/2025</c:v>
                  </c:pt>
                  <c:pt idx="1">
                    <c:v>8/29/2025</c:v>
                  </c:pt>
                  <c:pt idx="2">
                    <c:v>9/5/2025</c:v>
                  </c:pt>
                  <c:pt idx="3">
                    <c:v>9/12/2025</c:v>
                  </c:pt>
                  <c:pt idx="4">
                    <c:v>9/19/2025</c:v>
                  </c:pt>
                  <c:pt idx="5">
                    <c:v>9/26/2025</c:v>
                  </c:pt>
                  <c:pt idx="6">
                    <c:v>10/2/2025</c:v>
                  </c:pt>
                </c:lvl>
                <c:lvl>
                  <c:pt idx="0">
                    <c:v>KW34</c:v>
                  </c:pt>
                  <c:pt idx="1">
                    <c:v>KW35</c:v>
                  </c:pt>
                  <c:pt idx="2">
                    <c:v>KW36</c:v>
                  </c:pt>
                  <c:pt idx="3">
                    <c:v>KW37</c:v>
                  </c:pt>
                  <c:pt idx="4">
                    <c:v>KW38</c:v>
                  </c:pt>
                  <c:pt idx="5">
                    <c:v>KW39</c:v>
                  </c:pt>
                  <c:pt idx="6">
                    <c:v>KW40</c:v>
                  </c:pt>
                </c:lvl>
              </c:multiLvlStrCache>
            </c:multiLvlStrRef>
          </c:cat>
          <c:val>
            <c:numRef>
              <c:f>P09A!$D$2:$D$8</c:f>
              <c:numCache>
                <c:formatCode>0.00%</c:formatCode>
                <c:ptCount val="7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6C-4BD9-96D9-54355E24881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p09b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P09B!$C$1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P09B!$A$2:$B$7</c:f>
              <c:multiLvlStrCache>
                <c:ptCount val="6"/>
                <c:lvl>
                  <c:pt idx="0">
                    <c:v>9/12/2025</c:v>
                  </c:pt>
                  <c:pt idx="1">
                    <c:v>9/19/2025</c:v>
                  </c:pt>
                  <c:pt idx="2">
                    <c:v>9/26/2025</c:v>
                  </c:pt>
                  <c:pt idx="3">
                    <c:v>10/2/2025</c:v>
                  </c:pt>
                  <c:pt idx="4">
                    <c:v>10/10/2025</c:v>
                  </c:pt>
                  <c:pt idx="5">
                    <c:v>10/16/2025</c:v>
                  </c:pt>
                </c:lvl>
                <c:lvl>
                  <c:pt idx="0">
                    <c:v>KW37</c:v>
                  </c:pt>
                  <c:pt idx="1">
                    <c:v>KW38</c:v>
                  </c:pt>
                  <c:pt idx="2">
                    <c:v>KW39</c:v>
                  </c:pt>
                  <c:pt idx="3">
                    <c:v>KW40</c:v>
                  </c:pt>
                  <c:pt idx="4">
                    <c:v>KW41</c:v>
                  </c:pt>
                  <c:pt idx="5">
                    <c:v>KW42</c:v>
                  </c:pt>
                </c:lvl>
              </c:multiLvlStrCache>
            </c:multiLvlStrRef>
          </c:cat>
          <c:val>
            <c:numRef>
              <c:f>P09B!$C$2:$C$7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97-4F37-ACF3-4BCEB2CEAAC2}"/>
            </c:ext>
          </c:extLst>
        </c:ser>
        <c:ser>
          <c:idx val="1"/>
          <c:order val="1"/>
          <c:tx>
            <c:strRef>
              <c:f>P09B!$D$1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P09B!$A$2:$B$7</c:f>
              <c:multiLvlStrCache>
                <c:ptCount val="6"/>
                <c:lvl>
                  <c:pt idx="0">
                    <c:v>9/12/2025</c:v>
                  </c:pt>
                  <c:pt idx="1">
                    <c:v>9/19/2025</c:v>
                  </c:pt>
                  <c:pt idx="2">
                    <c:v>9/26/2025</c:v>
                  </c:pt>
                  <c:pt idx="3">
                    <c:v>10/2/2025</c:v>
                  </c:pt>
                  <c:pt idx="4">
                    <c:v>10/10/2025</c:v>
                  </c:pt>
                  <c:pt idx="5">
                    <c:v>10/16/2025</c:v>
                  </c:pt>
                </c:lvl>
                <c:lvl>
                  <c:pt idx="0">
                    <c:v>KW37</c:v>
                  </c:pt>
                  <c:pt idx="1">
                    <c:v>KW38</c:v>
                  </c:pt>
                  <c:pt idx="2">
                    <c:v>KW39</c:v>
                  </c:pt>
                  <c:pt idx="3">
                    <c:v>KW40</c:v>
                  </c:pt>
                  <c:pt idx="4">
                    <c:v>KW41</c:v>
                  </c:pt>
                  <c:pt idx="5">
                    <c:v>KW42</c:v>
                  </c:pt>
                </c:lvl>
              </c:multiLvlStrCache>
            </c:multiLvlStrRef>
          </c:cat>
          <c:val>
            <c:numRef>
              <c:f>P09B!$D$2:$D$7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97-4F37-ACF3-4BCEB2CEAAC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p10a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P10A!$C$1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P10A!$A$2:$B$9</c:f>
              <c:multiLvlStrCache>
                <c:ptCount val="8"/>
                <c:lvl>
                  <c:pt idx="0">
                    <c:v>9/19/2025</c:v>
                  </c:pt>
                  <c:pt idx="1">
                    <c:v>9/26/2025</c:v>
                  </c:pt>
                  <c:pt idx="2">
                    <c:v>10/2/2025</c:v>
                  </c:pt>
                  <c:pt idx="3">
                    <c:v>10/10/2025</c:v>
                  </c:pt>
                  <c:pt idx="4">
                    <c:v>10/17/2025</c:v>
                  </c:pt>
                  <c:pt idx="5">
                    <c:v>10/24/2025</c:v>
                  </c:pt>
                  <c:pt idx="6">
                    <c:v>10/31/2025</c:v>
                  </c:pt>
                  <c:pt idx="7">
                    <c:v>11/3/2025</c:v>
                  </c:pt>
                </c:lvl>
                <c:lvl>
                  <c:pt idx="0">
                    <c:v>KW38</c:v>
                  </c:pt>
                  <c:pt idx="1">
                    <c:v>KW39</c:v>
                  </c:pt>
                  <c:pt idx="2">
                    <c:v>KW40</c:v>
                  </c:pt>
                  <c:pt idx="3">
                    <c:v>KW41</c:v>
                  </c:pt>
                  <c:pt idx="4">
                    <c:v>KW42</c:v>
                  </c:pt>
                  <c:pt idx="5">
                    <c:v>KW43</c:v>
                  </c:pt>
                  <c:pt idx="6">
                    <c:v>KW44</c:v>
                  </c:pt>
                  <c:pt idx="7">
                    <c:v>KW45</c:v>
                  </c:pt>
                </c:lvl>
              </c:multiLvlStrCache>
            </c:multiLvlStrRef>
          </c:cat>
          <c:val>
            <c:numRef>
              <c:f>P10A!$C$2:$C$9</c:f>
              <c:numCache>
                <c:formatCode>0.00%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50-483E-AD94-E7DF08F42D91}"/>
            </c:ext>
          </c:extLst>
        </c:ser>
        <c:ser>
          <c:idx val="1"/>
          <c:order val="1"/>
          <c:tx>
            <c:strRef>
              <c:f>P10A!$D$1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P10A!$A$2:$B$9</c:f>
              <c:multiLvlStrCache>
                <c:ptCount val="8"/>
                <c:lvl>
                  <c:pt idx="0">
                    <c:v>9/19/2025</c:v>
                  </c:pt>
                  <c:pt idx="1">
                    <c:v>9/26/2025</c:v>
                  </c:pt>
                  <c:pt idx="2">
                    <c:v>10/2/2025</c:v>
                  </c:pt>
                  <c:pt idx="3">
                    <c:v>10/10/2025</c:v>
                  </c:pt>
                  <c:pt idx="4">
                    <c:v>10/17/2025</c:v>
                  </c:pt>
                  <c:pt idx="5">
                    <c:v>10/24/2025</c:v>
                  </c:pt>
                  <c:pt idx="6">
                    <c:v>10/31/2025</c:v>
                  </c:pt>
                  <c:pt idx="7">
                    <c:v>11/3/2025</c:v>
                  </c:pt>
                </c:lvl>
                <c:lvl>
                  <c:pt idx="0">
                    <c:v>KW38</c:v>
                  </c:pt>
                  <c:pt idx="1">
                    <c:v>KW39</c:v>
                  </c:pt>
                  <c:pt idx="2">
                    <c:v>KW40</c:v>
                  </c:pt>
                  <c:pt idx="3">
                    <c:v>KW41</c:v>
                  </c:pt>
                  <c:pt idx="4">
                    <c:v>KW42</c:v>
                  </c:pt>
                  <c:pt idx="5">
                    <c:v>KW43</c:v>
                  </c:pt>
                  <c:pt idx="6">
                    <c:v>KW44</c:v>
                  </c:pt>
                  <c:pt idx="7">
                    <c:v>KW45</c:v>
                  </c:pt>
                </c:lvl>
              </c:multiLvlStrCache>
            </c:multiLvlStrRef>
          </c:cat>
          <c:val>
            <c:numRef>
              <c:f>P10A!$D$2:$D$9</c:f>
              <c:numCache>
                <c:formatCode>0.00%</c:formatCode>
                <c:ptCount val="8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50-483E-AD94-E7DF08F42D9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p10b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P10B!$C$1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P10B!$A$2:$B$7</c:f>
              <c:multiLvlStrCache>
                <c:ptCount val="6"/>
                <c:lvl>
                  <c:pt idx="0">
                    <c:v>10/2/2025</c:v>
                  </c:pt>
                  <c:pt idx="1">
                    <c:v>10/10/2025</c:v>
                  </c:pt>
                  <c:pt idx="2">
                    <c:v>10/17/2025</c:v>
                  </c:pt>
                  <c:pt idx="3">
                    <c:v>10/24/2025</c:v>
                  </c:pt>
                  <c:pt idx="4">
                    <c:v>10/31/2025</c:v>
                  </c:pt>
                  <c:pt idx="5">
                    <c:v>11/6/2025</c:v>
                  </c:pt>
                </c:lvl>
                <c:lvl>
                  <c:pt idx="0">
                    <c:v>KW40</c:v>
                  </c:pt>
                  <c:pt idx="1">
                    <c:v>KW41</c:v>
                  </c:pt>
                  <c:pt idx="2">
                    <c:v>KW42</c:v>
                  </c:pt>
                  <c:pt idx="3">
                    <c:v>KW43</c:v>
                  </c:pt>
                  <c:pt idx="4">
                    <c:v>KW44</c:v>
                  </c:pt>
                  <c:pt idx="5">
                    <c:v>KW45</c:v>
                  </c:pt>
                </c:lvl>
              </c:multiLvlStrCache>
            </c:multiLvlStrRef>
          </c:cat>
          <c:val>
            <c:numRef>
              <c:f>P10B!$C$2:$C$7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79-44DE-BB8D-ECECE9449121}"/>
            </c:ext>
          </c:extLst>
        </c:ser>
        <c:ser>
          <c:idx val="1"/>
          <c:order val="1"/>
          <c:tx>
            <c:strRef>
              <c:f>P10B!$D$1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P10B!$A$2:$B$7</c:f>
              <c:multiLvlStrCache>
                <c:ptCount val="6"/>
                <c:lvl>
                  <c:pt idx="0">
                    <c:v>10/2/2025</c:v>
                  </c:pt>
                  <c:pt idx="1">
                    <c:v>10/10/2025</c:v>
                  </c:pt>
                  <c:pt idx="2">
                    <c:v>10/17/2025</c:v>
                  </c:pt>
                  <c:pt idx="3">
                    <c:v>10/24/2025</c:v>
                  </c:pt>
                  <c:pt idx="4">
                    <c:v>10/31/2025</c:v>
                  </c:pt>
                  <c:pt idx="5">
                    <c:v>11/6/2025</c:v>
                  </c:pt>
                </c:lvl>
                <c:lvl>
                  <c:pt idx="0">
                    <c:v>KW40</c:v>
                  </c:pt>
                  <c:pt idx="1">
                    <c:v>KW41</c:v>
                  </c:pt>
                  <c:pt idx="2">
                    <c:v>KW42</c:v>
                  </c:pt>
                  <c:pt idx="3">
                    <c:v>KW43</c:v>
                  </c:pt>
                  <c:pt idx="4">
                    <c:v>KW44</c:v>
                  </c:pt>
                  <c:pt idx="5">
                    <c:v>KW45</c:v>
                  </c:pt>
                </c:lvl>
              </c:multiLvlStrCache>
            </c:multiLvlStrRef>
          </c:cat>
          <c:val>
            <c:numRef>
              <c:f>P10B!$D$2:$D$7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79-44DE-BB8D-ECECE944912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p10c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P10C!$C$1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P10C!$A$2:$B$7</c:f>
              <c:multiLvlStrCache>
                <c:ptCount val="6"/>
                <c:lvl>
                  <c:pt idx="0">
                    <c:v>10/17/2025</c:v>
                  </c:pt>
                  <c:pt idx="1">
                    <c:v>10/24/2025</c:v>
                  </c:pt>
                  <c:pt idx="2">
                    <c:v>10/31/2025</c:v>
                  </c:pt>
                  <c:pt idx="3">
                    <c:v>11/7/2025</c:v>
                  </c:pt>
                  <c:pt idx="4">
                    <c:v>11/14/2025</c:v>
                  </c:pt>
                  <c:pt idx="5">
                    <c:v>11/20/2025</c:v>
                  </c:pt>
                </c:lvl>
                <c:lvl>
                  <c:pt idx="0">
                    <c:v>KW42</c:v>
                  </c:pt>
                  <c:pt idx="1">
                    <c:v>KW43</c:v>
                  </c:pt>
                  <c:pt idx="2">
                    <c:v>KW44</c:v>
                  </c:pt>
                  <c:pt idx="3">
                    <c:v>KW45</c:v>
                  </c:pt>
                  <c:pt idx="4">
                    <c:v>KW46</c:v>
                  </c:pt>
                  <c:pt idx="5">
                    <c:v>KW47</c:v>
                  </c:pt>
                </c:lvl>
              </c:multiLvlStrCache>
            </c:multiLvlStrRef>
          </c:cat>
          <c:val>
            <c:numRef>
              <c:f>P10C!$C$2:$C$7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7F-439D-A25B-A34E9113E67B}"/>
            </c:ext>
          </c:extLst>
        </c:ser>
        <c:ser>
          <c:idx val="1"/>
          <c:order val="1"/>
          <c:tx>
            <c:strRef>
              <c:f>P10C!$D$1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P10C!$A$2:$B$7</c:f>
              <c:multiLvlStrCache>
                <c:ptCount val="6"/>
                <c:lvl>
                  <c:pt idx="0">
                    <c:v>10/17/2025</c:v>
                  </c:pt>
                  <c:pt idx="1">
                    <c:v>10/24/2025</c:v>
                  </c:pt>
                  <c:pt idx="2">
                    <c:v>10/31/2025</c:v>
                  </c:pt>
                  <c:pt idx="3">
                    <c:v>11/7/2025</c:v>
                  </c:pt>
                  <c:pt idx="4">
                    <c:v>11/14/2025</c:v>
                  </c:pt>
                  <c:pt idx="5">
                    <c:v>11/20/2025</c:v>
                  </c:pt>
                </c:lvl>
                <c:lvl>
                  <c:pt idx="0">
                    <c:v>KW42</c:v>
                  </c:pt>
                  <c:pt idx="1">
                    <c:v>KW43</c:v>
                  </c:pt>
                  <c:pt idx="2">
                    <c:v>KW44</c:v>
                  </c:pt>
                  <c:pt idx="3">
                    <c:v>KW45</c:v>
                  </c:pt>
                  <c:pt idx="4">
                    <c:v>KW46</c:v>
                  </c:pt>
                  <c:pt idx="5">
                    <c:v>KW47</c:v>
                  </c:pt>
                </c:lvl>
              </c:multiLvlStrCache>
            </c:multiLvlStrRef>
          </c:cat>
          <c:val>
            <c:numRef>
              <c:f>P10C!$D$2:$D$7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7F-439D-A25B-A34E9113E67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p11a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P11A!$C$1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P11A!$A$2:$B$8</c:f>
              <c:multiLvlStrCache>
                <c:ptCount val="7"/>
                <c:lvl>
                  <c:pt idx="0">
                    <c:v>10/24/2025</c:v>
                  </c:pt>
                  <c:pt idx="1">
                    <c:v>10/31/2025</c:v>
                  </c:pt>
                  <c:pt idx="2">
                    <c:v>11/7/2025</c:v>
                  </c:pt>
                  <c:pt idx="3">
                    <c:v>11/14/2025</c:v>
                  </c:pt>
                  <c:pt idx="4">
                    <c:v>11/21/2025</c:v>
                  </c:pt>
                  <c:pt idx="5">
                    <c:v>11/28/2025</c:v>
                  </c:pt>
                  <c:pt idx="6">
                    <c:v>12/3/2025</c:v>
                  </c:pt>
                </c:lvl>
                <c:lvl>
                  <c:pt idx="0">
                    <c:v>KW43</c:v>
                  </c:pt>
                  <c:pt idx="1">
                    <c:v>KW44</c:v>
                  </c:pt>
                  <c:pt idx="2">
                    <c:v>KW45</c:v>
                  </c:pt>
                  <c:pt idx="3">
                    <c:v>KW46</c:v>
                  </c:pt>
                  <c:pt idx="4">
                    <c:v>KW47</c:v>
                  </c:pt>
                  <c:pt idx="5">
                    <c:v>KW48</c:v>
                  </c:pt>
                  <c:pt idx="6">
                    <c:v>KW49</c:v>
                  </c:pt>
                </c:lvl>
              </c:multiLvlStrCache>
            </c:multiLvlStrRef>
          </c:cat>
          <c:val>
            <c:numRef>
              <c:f>P11A!$C$2:$C$8</c:f>
              <c:numCache>
                <c:formatCode>0.00%</c:formatCode>
                <c:ptCount val="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AF-4DCE-A5CF-4418B0D1E4F1}"/>
            </c:ext>
          </c:extLst>
        </c:ser>
        <c:ser>
          <c:idx val="1"/>
          <c:order val="1"/>
          <c:tx>
            <c:strRef>
              <c:f>P11A!$D$1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P11A!$A$2:$B$8</c:f>
              <c:multiLvlStrCache>
                <c:ptCount val="7"/>
                <c:lvl>
                  <c:pt idx="0">
                    <c:v>10/24/2025</c:v>
                  </c:pt>
                  <c:pt idx="1">
                    <c:v>10/31/2025</c:v>
                  </c:pt>
                  <c:pt idx="2">
                    <c:v>11/7/2025</c:v>
                  </c:pt>
                  <c:pt idx="3">
                    <c:v>11/14/2025</c:v>
                  </c:pt>
                  <c:pt idx="4">
                    <c:v>11/21/2025</c:v>
                  </c:pt>
                  <c:pt idx="5">
                    <c:v>11/28/2025</c:v>
                  </c:pt>
                  <c:pt idx="6">
                    <c:v>12/3/2025</c:v>
                  </c:pt>
                </c:lvl>
                <c:lvl>
                  <c:pt idx="0">
                    <c:v>KW43</c:v>
                  </c:pt>
                  <c:pt idx="1">
                    <c:v>KW44</c:v>
                  </c:pt>
                  <c:pt idx="2">
                    <c:v>KW45</c:v>
                  </c:pt>
                  <c:pt idx="3">
                    <c:v>KW46</c:v>
                  </c:pt>
                  <c:pt idx="4">
                    <c:v>KW47</c:v>
                  </c:pt>
                  <c:pt idx="5">
                    <c:v>KW48</c:v>
                  </c:pt>
                  <c:pt idx="6">
                    <c:v>KW49</c:v>
                  </c:pt>
                </c:lvl>
              </c:multiLvlStrCache>
            </c:multiLvlStrRef>
          </c:cat>
          <c:val>
            <c:numRef>
              <c:f>P11A!$D$2:$D$8</c:f>
              <c:numCache>
                <c:formatCode>0.00%</c:formatCode>
                <c:ptCount val="7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AF-4DCE-A5CF-4418B0D1E4F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p11b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P11B!$C$1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P11B!$A$2:$B$7</c:f>
              <c:multiLvlStrCache>
                <c:ptCount val="6"/>
                <c:lvl>
                  <c:pt idx="0">
                    <c:v>10/31/2025</c:v>
                  </c:pt>
                  <c:pt idx="1">
                    <c:v>11/7/2025</c:v>
                  </c:pt>
                  <c:pt idx="2">
                    <c:v>11/14/2025</c:v>
                  </c:pt>
                  <c:pt idx="3">
                    <c:v>11/21/2025</c:v>
                  </c:pt>
                  <c:pt idx="4">
                    <c:v>11/28/2025</c:v>
                  </c:pt>
                  <c:pt idx="5">
                    <c:v>12/5/2025</c:v>
                  </c:pt>
                </c:lvl>
                <c:lvl>
                  <c:pt idx="0">
                    <c:v>KW44</c:v>
                  </c:pt>
                  <c:pt idx="1">
                    <c:v>KW45</c:v>
                  </c:pt>
                  <c:pt idx="2">
                    <c:v>KW46</c:v>
                  </c:pt>
                  <c:pt idx="3">
                    <c:v>KW47</c:v>
                  </c:pt>
                  <c:pt idx="4">
                    <c:v>KW48</c:v>
                  </c:pt>
                  <c:pt idx="5">
                    <c:v>KW49</c:v>
                  </c:pt>
                </c:lvl>
              </c:multiLvlStrCache>
            </c:multiLvlStrRef>
          </c:cat>
          <c:val>
            <c:numRef>
              <c:f>P11B!$C$2:$C$7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91-47C2-BFA3-FBF3D55EB6EE}"/>
            </c:ext>
          </c:extLst>
        </c:ser>
        <c:ser>
          <c:idx val="1"/>
          <c:order val="1"/>
          <c:tx>
            <c:strRef>
              <c:f>P11B!$D$1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P11B!$A$2:$B$7</c:f>
              <c:multiLvlStrCache>
                <c:ptCount val="6"/>
                <c:lvl>
                  <c:pt idx="0">
                    <c:v>10/31/2025</c:v>
                  </c:pt>
                  <c:pt idx="1">
                    <c:v>11/7/2025</c:v>
                  </c:pt>
                  <c:pt idx="2">
                    <c:v>11/14/2025</c:v>
                  </c:pt>
                  <c:pt idx="3">
                    <c:v>11/21/2025</c:v>
                  </c:pt>
                  <c:pt idx="4">
                    <c:v>11/28/2025</c:v>
                  </c:pt>
                  <c:pt idx="5">
                    <c:v>12/5/2025</c:v>
                  </c:pt>
                </c:lvl>
                <c:lvl>
                  <c:pt idx="0">
                    <c:v>KW44</c:v>
                  </c:pt>
                  <c:pt idx="1">
                    <c:v>KW45</c:v>
                  </c:pt>
                  <c:pt idx="2">
                    <c:v>KW46</c:v>
                  </c:pt>
                  <c:pt idx="3">
                    <c:v>KW47</c:v>
                  </c:pt>
                  <c:pt idx="4">
                    <c:v>KW48</c:v>
                  </c:pt>
                  <c:pt idx="5">
                    <c:v>KW49</c:v>
                  </c:pt>
                </c:lvl>
              </c:multiLvlStrCache>
            </c:multiLvlStrRef>
          </c:cat>
          <c:val>
            <c:numRef>
              <c:f>P11B!$D$2:$D$7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91-47C2-BFA3-FBF3D55EB6E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p11c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P11C!$C$1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P11C!$A$2:$B$8</c:f>
              <c:multiLvlStrCache>
                <c:ptCount val="7"/>
                <c:lvl>
                  <c:pt idx="0">
                    <c:v>11/7/2025</c:v>
                  </c:pt>
                  <c:pt idx="1">
                    <c:v>11/14/2025</c:v>
                  </c:pt>
                  <c:pt idx="2">
                    <c:v>11/21/2025</c:v>
                  </c:pt>
                  <c:pt idx="3">
                    <c:v>11/28/2025</c:v>
                  </c:pt>
                  <c:pt idx="4">
                    <c:v>12/5/2025</c:v>
                  </c:pt>
                  <c:pt idx="5">
                    <c:v>12/12/2025</c:v>
                  </c:pt>
                  <c:pt idx="6">
                    <c:v>12/18/2025</c:v>
                  </c:pt>
                </c:lvl>
                <c:lvl>
                  <c:pt idx="0">
                    <c:v>KW45</c:v>
                  </c:pt>
                  <c:pt idx="1">
                    <c:v>KW46</c:v>
                  </c:pt>
                  <c:pt idx="2">
                    <c:v>KW47</c:v>
                  </c:pt>
                  <c:pt idx="3">
                    <c:v>KW48</c:v>
                  </c:pt>
                  <c:pt idx="4">
                    <c:v>KW49</c:v>
                  </c:pt>
                  <c:pt idx="5">
                    <c:v>KW50</c:v>
                  </c:pt>
                  <c:pt idx="6">
                    <c:v>KW51</c:v>
                  </c:pt>
                </c:lvl>
              </c:multiLvlStrCache>
            </c:multiLvlStrRef>
          </c:cat>
          <c:val>
            <c:numRef>
              <c:f>P11C!$C$2:$C$8</c:f>
              <c:numCache>
                <c:formatCode>0.00%</c:formatCode>
                <c:ptCount val="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8C-4EAE-B072-6756796FC7B1}"/>
            </c:ext>
          </c:extLst>
        </c:ser>
        <c:ser>
          <c:idx val="1"/>
          <c:order val="1"/>
          <c:tx>
            <c:strRef>
              <c:f>P11C!$D$1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P11C!$A$2:$B$8</c:f>
              <c:multiLvlStrCache>
                <c:ptCount val="7"/>
                <c:lvl>
                  <c:pt idx="0">
                    <c:v>11/7/2025</c:v>
                  </c:pt>
                  <c:pt idx="1">
                    <c:v>11/14/2025</c:v>
                  </c:pt>
                  <c:pt idx="2">
                    <c:v>11/21/2025</c:v>
                  </c:pt>
                  <c:pt idx="3">
                    <c:v>11/28/2025</c:v>
                  </c:pt>
                  <c:pt idx="4">
                    <c:v>12/5/2025</c:v>
                  </c:pt>
                  <c:pt idx="5">
                    <c:v>12/12/2025</c:v>
                  </c:pt>
                  <c:pt idx="6">
                    <c:v>12/18/2025</c:v>
                  </c:pt>
                </c:lvl>
                <c:lvl>
                  <c:pt idx="0">
                    <c:v>KW45</c:v>
                  </c:pt>
                  <c:pt idx="1">
                    <c:v>KW46</c:v>
                  </c:pt>
                  <c:pt idx="2">
                    <c:v>KW47</c:v>
                  </c:pt>
                  <c:pt idx="3">
                    <c:v>KW48</c:v>
                  </c:pt>
                  <c:pt idx="4">
                    <c:v>KW49</c:v>
                  </c:pt>
                  <c:pt idx="5">
                    <c:v>KW50</c:v>
                  </c:pt>
                  <c:pt idx="6">
                    <c:v>KW51</c:v>
                  </c:pt>
                </c:lvl>
              </c:multiLvlStrCache>
            </c:multiLvlStrRef>
          </c:cat>
          <c:val>
            <c:numRef>
              <c:f>P11C!$D$2:$D$8</c:f>
              <c:numCache>
                <c:formatCode>0.00%</c:formatCode>
                <c:ptCount val="7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8C-4EAE-B072-6756796FC7B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p12a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P12A!$C$1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P12A!$A$2:$B$11</c:f>
              <c:multiLvlStrCache>
                <c:ptCount val="10"/>
                <c:lvl>
                  <c:pt idx="0">
                    <c:v>10/31/2025</c:v>
                  </c:pt>
                  <c:pt idx="1">
                    <c:v>11/7/2025</c:v>
                  </c:pt>
                  <c:pt idx="2">
                    <c:v>11/14/2025</c:v>
                  </c:pt>
                  <c:pt idx="3">
                    <c:v>11/21/2025</c:v>
                  </c:pt>
                  <c:pt idx="4">
                    <c:v>11/28/2025</c:v>
                  </c:pt>
                  <c:pt idx="5">
                    <c:v>12/5/2025</c:v>
                  </c:pt>
                  <c:pt idx="6">
                    <c:v>12/12/2025</c:v>
                  </c:pt>
                  <c:pt idx="7">
                    <c:v>12/19/2025</c:v>
                  </c:pt>
                  <c:pt idx="8">
                    <c:v>12/26/2025</c:v>
                  </c:pt>
                  <c:pt idx="9">
                    <c:v>12/30/2025</c:v>
                  </c:pt>
                </c:lvl>
                <c:lvl>
                  <c:pt idx="0">
                    <c:v>KW44</c:v>
                  </c:pt>
                  <c:pt idx="1">
                    <c:v>KW45</c:v>
                  </c:pt>
                  <c:pt idx="2">
                    <c:v>KW46</c:v>
                  </c:pt>
                  <c:pt idx="3">
                    <c:v>KW47</c:v>
                  </c:pt>
                  <c:pt idx="4">
                    <c:v>KW48</c:v>
                  </c:pt>
                  <c:pt idx="5">
                    <c:v>KW49</c:v>
                  </c:pt>
                  <c:pt idx="6">
                    <c:v>KW50</c:v>
                  </c:pt>
                  <c:pt idx="7">
                    <c:v>KW51</c:v>
                  </c:pt>
                  <c:pt idx="8">
                    <c:v>KW52</c:v>
                  </c:pt>
                  <c:pt idx="9">
                    <c:v>KW53</c:v>
                  </c:pt>
                </c:lvl>
              </c:multiLvlStrCache>
            </c:multiLvlStrRef>
          </c:cat>
          <c:val>
            <c:numRef>
              <c:f>P12A!$C$2:$C$11</c:f>
              <c:numCache>
                <c:formatCode>0.00%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1B-4B7A-AE6F-C5C7584B29B2}"/>
            </c:ext>
          </c:extLst>
        </c:ser>
        <c:ser>
          <c:idx val="1"/>
          <c:order val="1"/>
          <c:tx>
            <c:strRef>
              <c:f>P12A!$D$1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P12A!$A$2:$B$11</c:f>
              <c:multiLvlStrCache>
                <c:ptCount val="10"/>
                <c:lvl>
                  <c:pt idx="0">
                    <c:v>10/31/2025</c:v>
                  </c:pt>
                  <c:pt idx="1">
                    <c:v>11/7/2025</c:v>
                  </c:pt>
                  <c:pt idx="2">
                    <c:v>11/14/2025</c:v>
                  </c:pt>
                  <c:pt idx="3">
                    <c:v>11/21/2025</c:v>
                  </c:pt>
                  <c:pt idx="4">
                    <c:v>11/28/2025</c:v>
                  </c:pt>
                  <c:pt idx="5">
                    <c:v>12/5/2025</c:v>
                  </c:pt>
                  <c:pt idx="6">
                    <c:v>12/12/2025</c:v>
                  </c:pt>
                  <c:pt idx="7">
                    <c:v>12/19/2025</c:v>
                  </c:pt>
                  <c:pt idx="8">
                    <c:v>12/26/2025</c:v>
                  </c:pt>
                  <c:pt idx="9">
                    <c:v>12/30/2025</c:v>
                  </c:pt>
                </c:lvl>
                <c:lvl>
                  <c:pt idx="0">
                    <c:v>KW44</c:v>
                  </c:pt>
                  <c:pt idx="1">
                    <c:v>KW45</c:v>
                  </c:pt>
                  <c:pt idx="2">
                    <c:v>KW46</c:v>
                  </c:pt>
                  <c:pt idx="3">
                    <c:v>KW47</c:v>
                  </c:pt>
                  <c:pt idx="4">
                    <c:v>KW48</c:v>
                  </c:pt>
                  <c:pt idx="5">
                    <c:v>KW49</c:v>
                  </c:pt>
                  <c:pt idx="6">
                    <c:v>KW50</c:v>
                  </c:pt>
                  <c:pt idx="7">
                    <c:v>KW51</c:v>
                  </c:pt>
                  <c:pt idx="8">
                    <c:v>KW52</c:v>
                  </c:pt>
                  <c:pt idx="9">
                    <c:v>KW53</c:v>
                  </c:pt>
                </c:lvl>
              </c:multiLvlStrCache>
            </c:multiLvlStrRef>
          </c:cat>
          <c:val>
            <c:numRef>
              <c:f>P12A!$D$2:$D$11</c:f>
              <c:numCache>
                <c:formatCode>0.00%</c:formatCode>
                <c:ptCount val="10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1B-4B7A-AE6F-C5C7584B29B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p12c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P12C!$C$1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P12C!$A$2:$B$7</c:f>
              <c:multiLvlStrCache>
                <c:ptCount val="6"/>
                <c:lvl>
                  <c:pt idx="0">
                    <c:v>11/28/2025</c:v>
                  </c:pt>
                  <c:pt idx="1">
                    <c:v>12/5/2025</c:v>
                  </c:pt>
                  <c:pt idx="2">
                    <c:v>12/12/2025</c:v>
                  </c:pt>
                  <c:pt idx="3">
                    <c:v>12/19/2025</c:v>
                  </c:pt>
                  <c:pt idx="4">
                    <c:v>12/26/2025</c:v>
                  </c:pt>
                  <c:pt idx="5">
                    <c:v>12/30/2025</c:v>
                  </c:pt>
                </c:lvl>
                <c:lvl>
                  <c:pt idx="0">
                    <c:v>KW48</c:v>
                  </c:pt>
                  <c:pt idx="1">
                    <c:v>KW49</c:v>
                  </c:pt>
                  <c:pt idx="2">
                    <c:v>KW50</c:v>
                  </c:pt>
                  <c:pt idx="3">
                    <c:v>KW51</c:v>
                  </c:pt>
                  <c:pt idx="4">
                    <c:v>KW52</c:v>
                  </c:pt>
                  <c:pt idx="5">
                    <c:v>KW53</c:v>
                  </c:pt>
                </c:lvl>
              </c:multiLvlStrCache>
            </c:multiLvlStrRef>
          </c:cat>
          <c:val>
            <c:numRef>
              <c:f>P12C!$C$2:$C$7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47-4EBD-BE8B-0F43A7F53415}"/>
            </c:ext>
          </c:extLst>
        </c:ser>
        <c:ser>
          <c:idx val="1"/>
          <c:order val="1"/>
          <c:tx>
            <c:strRef>
              <c:f>P12C!$D$1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P12C!$A$2:$B$7</c:f>
              <c:multiLvlStrCache>
                <c:ptCount val="6"/>
                <c:lvl>
                  <c:pt idx="0">
                    <c:v>11/28/2025</c:v>
                  </c:pt>
                  <c:pt idx="1">
                    <c:v>12/5/2025</c:v>
                  </c:pt>
                  <c:pt idx="2">
                    <c:v>12/12/2025</c:v>
                  </c:pt>
                  <c:pt idx="3">
                    <c:v>12/19/2025</c:v>
                  </c:pt>
                  <c:pt idx="4">
                    <c:v>12/26/2025</c:v>
                  </c:pt>
                  <c:pt idx="5">
                    <c:v>12/30/2025</c:v>
                  </c:pt>
                </c:lvl>
                <c:lvl>
                  <c:pt idx="0">
                    <c:v>KW48</c:v>
                  </c:pt>
                  <c:pt idx="1">
                    <c:v>KW49</c:v>
                  </c:pt>
                  <c:pt idx="2">
                    <c:v>KW50</c:v>
                  </c:pt>
                  <c:pt idx="3">
                    <c:v>KW51</c:v>
                  </c:pt>
                  <c:pt idx="4">
                    <c:v>KW52</c:v>
                  </c:pt>
                  <c:pt idx="5">
                    <c:v>KW53</c:v>
                  </c:pt>
                </c:lvl>
              </c:multiLvlStrCache>
            </c:multiLvlStrRef>
          </c:cat>
          <c:val>
            <c:numRef>
              <c:f>P12C!$D$2:$D$7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47-4EBD-BE8B-0F43A7F5341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p12e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P12E!$C$1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P12E!$A$2:$B$7</c:f>
            </c:multiLvlStrRef>
          </c:cat>
          <c:val>
            <c:numRef>
              <c:f>P12E!$C$2:$C$7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01-4677-ADFC-D99EF6791460}"/>
            </c:ext>
          </c:extLst>
        </c:ser>
        <c:ser>
          <c:idx val="1"/>
          <c:order val="1"/>
          <c:tx>
            <c:strRef>
              <c:f>P12E!$D$1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P12E!$A$2:$B$7</c:f>
            </c:multiLvlStrRef>
          </c:cat>
          <c:val>
            <c:numRef>
              <c:f>P12E!$D$2:$D$7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01-4677-ADFC-D99EF679146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p12eeg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P12EEG!$C$1</c:f>
              <c:strCache>
                <c:ptCount val="1"/>
                <c:pt idx="0">
                  <c:v>Schätzquote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P12EEG!$A$2:$B$7</c:f>
            </c:multiLvlStrRef>
          </c:cat>
          <c:val>
            <c:numRef>
              <c:f>P12EEG!$C$2:$C$7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09-40AB-B8BF-338F963F83A0}"/>
            </c:ext>
          </c:extLst>
        </c:ser>
        <c:ser>
          <c:idx val="1"/>
          <c:order val="1"/>
          <c:tx>
            <c:strRef>
              <c:f>P12EEG!$D$1</c:f>
              <c:strCache>
                <c:ptCount val="1"/>
                <c:pt idx="0">
                  <c:v>Soll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P12EEG!$A$2:$B$7</c:f>
            </c:multiLvlStrRef>
          </c:cat>
          <c:val>
            <c:numRef>
              <c:f>P12EEG!$D$2:$D$7</c:f>
              <c:numCache>
                <c:formatCode>0.00%</c:formatCode>
                <c:ptCount val="6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09-40AB-B8BF-338F963F83A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62436063"/>
        <c:axId val="762428159"/>
      </c:lineChart>
      <c:catAx>
        <c:axId val="7624360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28159"/>
        <c:crosses val="autoZero"/>
        <c:auto val="1"/>
        <c:lblAlgn val="ctr"/>
        <c:lblOffset val="100"/>
        <c:noMultiLvlLbl val="0"/>
      </c:catAx>
      <c:valAx>
        <c:axId val="762428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24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289560</xdr:colOff>
          <xdr:row>0</xdr:row>
          <xdr:rowOff>15240</xdr:rowOff>
        </xdr:from>
        <xdr:to>
          <xdr:col>15</xdr:col>
          <xdr:colOff>365760</xdr:colOff>
          <xdr:row>3</xdr:row>
          <xdr:rowOff>175260</xdr:rowOff>
        </xdr:to>
        <xdr:sp macro="" textlink="">
          <xdr:nvSpPr>
            <xdr:cNvPr id="1025" name="Aktualisiere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561974</xdr:colOff>
      <xdr:row>30</xdr:row>
      <xdr:rowOff>180973</xdr:rowOff>
    </xdr:from>
    <xdr:to>
      <xdr:col>21</xdr:col>
      <xdr:colOff>3974</xdr:colOff>
      <xdr:row>57</xdr:row>
      <xdr:rowOff>172648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561973</xdr:colOff>
      <xdr:row>4</xdr:row>
      <xdr:rowOff>0</xdr:rowOff>
    </xdr:from>
    <xdr:to>
      <xdr:col>21</xdr:col>
      <xdr:colOff>3973</xdr:colOff>
      <xdr:row>31</xdr:row>
      <xdr:rowOff>2475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9524</xdr:colOff>
      <xdr:row>4</xdr:row>
      <xdr:rowOff>9525</xdr:rowOff>
    </xdr:from>
    <xdr:to>
      <xdr:col>9</xdr:col>
      <xdr:colOff>571499</xdr:colOff>
      <xdr:row>31</xdr:row>
      <xdr:rowOff>0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9</xdr:col>
      <xdr:colOff>563400</xdr:colOff>
      <xdr:row>57</xdr:row>
      <xdr:rowOff>172650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304800</xdr:colOff>
          <xdr:row>0</xdr:row>
          <xdr:rowOff>15240</xdr:rowOff>
        </xdr:from>
        <xdr:to>
          <xdr:col>18</xdr:col>
          <xdr:colOff>327660</xdr:colOff>
          <xdr:row>3</xdr:row>
          <xdr:rowOff>167640</xdr:rowOff>
        </xdr:to>
        <xdr:sp macro="" textlink="">
          <xdr:nvSpPr>
            <xdr:cNvPr id="1026" name="Speicher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259080</xdr:colOff>
          <xdr:row>0</xdr:row>
          <xdr:rowOff>15240</xdr:rowOff>
        </xdr:from>
        <xdr:to>
          <xdr:col>20</xdr:col>
          <xdr:colOff>365760</xdr:colOff>
          <xdr:row>3</xdr:row>
          <xdr:rowOff>152400</xdr:rowOff>
        </xdr:to>
        <xdr:sp macro="" textlink="">
          <xdr:nvSpPr>
            <xdr:cNvPr id="1027" name="Lösche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30480</xdr:rowOff>
        </xdr:from>
        <xdr:to>
          <xdr:col>6</xdr:col>
          <xdr:colOff>167640</xdr:colOff>
          <xdr:row>3</xdr:row>
          <xdr:rowOff>167640</xdr:rowOff>
        </xdr:to>
        <xdr:sp macro="" textlink="">
          <xdr:nvSpPr>
            <xdr:cNvPr id="1028" name="Geschätzte_Laufwerk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15</xdr:col>
      <xdr:colOff>762000</xdr:colOff>
      <xdr:row>24</xdr:row>
      <xdr:rowOff>104775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16</xdr:col>
      <xdr:colOff>0</xdr:colOff>
      <xdr:row>17</xdr:row>
      <xdr:rowOff>123825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18</xdr:row>
      <xdr:rowOff>0</xdr:rowOff>
    </xdr:from>
    <xdr:to>
      <xdr:col>16</xdr:col>
      <xdr:colOff>0</xdr:colOff>
      <xdr:row>33</xdr:row>
      <xdr:rowOff>28575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0</xdr:row>
      <xdr:rowOff>0</xdr:rowOff>
    </xdr:from>
    <xdr:to>
      <xdr:col>18</xdr:col>
      <xdr:colOff>833438</xdr:colOff>
      <xdr:row>38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16</xdr:col>
      <xdr:colOff>828675</xdr:colOff>
      <xdr:row>27</xdr:row>
      <xdr:rowOff>19050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806450</xdr:colOff>
      <xdr:row>0</xdr:row>
      <xdr:rowOff>0</xdr:rowOff>
    </xdr:from>
    <xdr:to>
      <xdr:col>17</xdr:col>
      <xdr:colOff>6350</xdr:colOff>
      <xdr:row>27</xdr:row>
      <xdr:rowOff>19050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19050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19050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19050</xdr:colOff>
      <xdr:row>27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19050</xdr:colOff>
      <xdr:row>27</xdr:row>
      <xdr:rowOff>19050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28575</xdr:colOff>
      <xdr:row>27</xdr:row>
      <xdr:rowOff>19050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9525</xdr:colOff>
      <xdr:row>27</xdr:row>
      <xdr:rowOff>19050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19050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9525</xdr:colOff>
      <xdr:row>27</xdr:row>
      <xdr:rowOff>19050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0</xdr:row>
      <xdr:rowOff>0</xdr:rowOff>
    </xdr:from>
    <xdr:to>
      <xdr:col>17</xdr:col>
      <xdr:colOff>4763</xdr:colOff>
      <xdr:row>27</xdr:row>
      <xdr:rowOff>9525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0</xdr:row>
      <xdr:rowOff>0</xdr:rowOff>
    </xdr:from>
    <xdr:to>
      <xdr:col>17</xdr:col>
      <xdr:colOff>19050</xdr:colOff>
      <xdr:row>24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0</xdr:row>
      <xdr:rowOff>0</xdr:rowOff>
    </xdr:from>
    <xdr:to>
      <xdr:col>17</xdr:col>
      <xdr:colOff>19050</xdr:colOff>
      <xdr:row>26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0</xdr:row>
      <xdr:rowOff>0</xdr:rowOff>
    </xdr:from>
    <xdr:to>
      <xdr:col>17</xdr:col>
      <xdr:colOff>19050</xdr:colOff>
      <xdr:row>26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26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26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17</xdr:col>
      <xdr:colOff>0</xdr:colOff>
      <xdr:row>27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DCA612-5304-45F8-AE8B-44E1953D19EF}" name="Tabelle1" displayName="Tabelle1" ref="A1:R32" totalsRowShown="0" headerRowDxfId="200" headerRowBorderDxfId="199" tableBorderDxfId="198">
  <autoFilter ref="A1:R32" xr:uid="{57DCA612-5304-45F8-AE8B-44E1953D19EF}"/>
  <tableColumns count="18">
    <tableColumn id="1" xr3:uid="{E5D5AE97-DB6D-407F-8963-F2B63571D177}" name="Portion" dataDxfId="197"/>
    <tableColumn id="2" xr3:uid="{12BDAF75-265C-410A-99FF-5BC7B996DDE6}" name="Stadtbereich" dataDxfId="196"/>
    <tableColumn id="3" xr3:uid="{DE54DBA3-5917-4740-9BDF-BA0D06E6831D}" name="vobereitete _x000a_Zählwerke" dataDxfId="195"/>
    <tableColumn id="4" xr3:uid="{F84B2619-A4F0-4F27-A17B-576174596D39}" name="Zählwerke _x000a_per Karte" dataDxfId="194"/>
    <tableColumn id="18" xr3:uid="{50FD7596-AE88-4D31-80E4-4C9A32838221}" name="Stand_x000a_(Datum)" dataDxfId="193"/>
    <tableColumn id="5" xr3:uid="{B2B9FAAD-11AA-4AC7-B1A7-BE19835A134A}" name="Ablesungen_x000a_ per Karte" dataDxfId="192"/>
    <tableColumn id="6" xr3:uid="{2690B307-B8B3-45F8-900C-A99834E97957}" name="Kartenquote" dataDxfId="191"/>
    <tableColumn id="7" xr3:uid="{7F12EFF1-2994-4BF9-8CF5-C343C3C8DF89}" name="Zählwerke _x000a_per Ableser" dataDxfId="190"/>
    <tableColumn id="8" xr3:uid="{7112428B-BB2A-422F-AF4F-E09F60F8B2A3}" name="Abgelesene_x000a_Zählwerke" dataDxfId="189"/>
    <tableColumn id="9" xr3:uid="{57CC1062-0825-418A-AA38-14EE2AD72E0F}" name="Ableserquote" dataDxfId="188"/>
    <tableColumn id="10" xr3:uid="{C6119D8A-C74D-46E2-B9A9-37C228EE9F07}" name="geschätzte _x000a_Zählwerke" dataDxfId="187"/>
    <tableColumn id="11" xr3:uid="{934B0406-4E89-40EC-B62A-3621E7831CEC}" name="Datum geplante Schätzung" dataDxfId="186"/>
    <tableColumn id="12" xr3:uid="{ED855B05-E692-42D8-B4C2-653CA3965508}" name="Datum_x000a_finale_x000a_Schätzung" dataDxfId="185"/>
    <tableColumn id="13" xr3:uid="{EB96F30B-500A-461C-9B52-602BB657C8FD}" name="Schätz-_x000a_quote" dataDxfId="184" dataCellStyle="Prozent"/>
    <tableColumn id="14" xr3:uid="{102975CB-76A9-4721-8097-C73F2999B2A5}" name="Soll" dataDxfId="183" dataCellStyle="Prozent"/>
    <tableColumn id="15" xr3:uid="{4973DFF2-7E29-41B7-A7D2-A1190C900675}" name="Schätzquote _x000a_Durchschnitt" dataDxfId="182"/>
    <tableColumn id="16" xr3:uid="{53AF472F-154E-4BD9-B927-B0584D3D664C}" name="Delay _x000a_Schätztermin" dataDxfId="181">
      <calculatedColumnFormula>IF(Tabelle1[[#This Row],[Datum
finale
Schätzung]]&lt;&gt;"",Tabelle1[[#This Row],[Datum
finale
Schätzung]]-Tabelle1[[#This Row],[Datum geplante Schätzung]],"")</calculatedColumnFormula>
    </tableColumn>
    <tableColumn id="17" xr3:uid="{912ECB2A-AF3E-45CD-9843-A3B3F12E0525}" name="Grund Delay Schätztermin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BF84648-AA19-4E07-BF49-A374B96EA195}" name="Tabelle8" displayName="Tabelle8" ref="B1:C32" totalsRowShown="0" headerRowDxfId="180">
  <autoFilter ref="B1:C32" xr:uid="{2BF84648-AA19-4E07-BF49-A374B96EA195}"/>
  <tableColumns count="2">
    <tableColumn id="1" xr3:uid="{580FAD1E-D7A4-40CA-AAF5-9BF8AE78E214}" name="vorbereitete_x000a_Zählwerke" dataDxfId="179" dataCellStyle="Prozent">
      <calculatedColumnFormula>SUM(Gesamtübersicht!$C$2:C2)</calculatedColumnFormula>
    </tableColumn>
    <tableColumn id="2" xr3:uid="{1EC5DFAF-6676-4F81-8BB2-06FB9E0C7051}" name="geschätzte_x000a_Zählwerke" dataDxfId="178">
      <calculatedColumnFormula>SUM(Gesamtübersicht!$K$2:K2)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A4CDB5D-7B29-4646-BA9A-F3BE60BAE657}" name="Tabelle9" displayName="Tabelle9" ref="D1:D32" totalsRowShown="0">
  <autoFilter ref="D1:D32" xr:uid="{BA4CDB5D-7B29-4646-BA9A-F3BE60BAE657}"/>
  <tableColumns count="1">
    <tableColumn id="1" xr3:uid="{BA737ECC-CDF8-4596-8E4E-FC9C5DB3DE3E}" name="Durchschnitt" dataDxfId="177">
      <calculatedColumnFormula>IFERROR(C2/B2, "")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244D628-7A4F-4E44-AC45-FBFF6AE958B8}" name="Tabelle4" displayName="Tabelle4" ref="A1:D16" totalsRowShown="0" headerRowBorderDxfId="160" tableBorderDxfId="159" totalsRowBorderDxfId="158">
  <autoFilter ref="A1:D16" xr:uid="{5244D628-7A4F-4E44-AC45-FBFF6AE958B8}"/>
  <tableColumns count="4">
    <tableColumn id="1" xr3:uid="{3A2820B5-1989-421D-B0AA-CE9766B9C7BA}" name="Portion" dataDxfId="157"/>
    <tableColumn id="2" xr3:uid="{12A049BE-D32B-41EB-BBDF-4B8776A71B8F}" name="vobereitete _x000a_Zählwerke" dataDxfId="156">
      <calculatedColumnFormula>IF(Gesamtübersicht!C2&lt;&gt;"", Gesamtübersicht!C2, "")</calculatedColumnFormula>
    </tableColumn>
    <tableColumn id="3" xr3:uid="{97C48A3B-F2D9-465A-ADFC-13883FB0B1C4}" name="Schätz-_x000a_quote" dataDxfId="155" dataCellStyle="Prozent">
      <calculatedColumnFormula>IF(Gesamtübersicht!N2&lt;&gt;"", Gesamtübersicht!N2, "")</calculatedColumnFormula>
    </tableColumn>
    <tableColumn id="4" xr3:uid="{70BCFB1D-847C-45F9-B2B6-C89BDC0E60AE}" name="Soll" dataDxfId="154" dataCellStyle="Prozen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8453CAF-5A28-4958-8F34-844674A73279}" name="Tabelle46" displayName="Tabelle46" ref="A1:D16" totalsRowShown="0" headerRowBorderDxfId="145" tableBorderDxfId="144" totalsRowBorderDxfId="143">
  <autoFilter ref="A1:D16" xr:uid="{08453CAF-5A28-4958-8F34-844674A73279}"/>
  <tableColumns count="4">
    <tableColumn id="1" xr3:uid="{575F951D-DC78-42E9-BBC6-8E04E0C2F0C5}" name="Portion" dataDxfId="142"/>
    <tableColumn id="2" xr3:uid="{242BAFC4-D2A8-4B6A-A88A-46C3FE25B9C6}" name="vobereitete _x000a_Zählwerke" dataDxfId="141">
      <calculatedColumnFormula>IF(Gesamtübersicht!C2&lt;&gt;"", Gesamtübersicht!C2, "")</calculatedColumnFormula>
    </tableColumn>
    <tableColumn id="3" xr3:uid="{67077B13-8D60-4B37-BF58-06A6053B001C}" name="Schätz-_x000a_quote" dataDxfId="140" dataCellStyle="Prozent"/>
    <tableColumn id="4" xr3:uid="{963A6F93-3AE4-4145-AE84-49E6BAE29297}" name="Soll" dataDxfId="139" dataCellStyle="Proz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037462F-326B-4764-96A1-9B9FA195E1F2}" name="Tabelle10" displayName="Tabelle10" ref="A3:I19" totalsRowShown="0" headerRowDxfId="138" dataDxfId="137">
  <autoFilter ref="A3:I19" xr:uid="{C037462F-326B-4764-96A1-9B9FA195E1F2}"/>
  <tableColumns count="9">
    <tableColumn id="1" xr3:uid="{487C3506-5C77-43EB-8AB1-C42500A1670A}" name="Portion" dataDxfId="136"/>
    <tableColumn id="2" xr3:uid="{C1963071-02AA-402F-AF35-80A6D91E9A42}" name="Schätzquote 2024" dataDxfId="135"/>
    <tableColumn id="3" xr3:uid="{C9B8ED8F-D470-4CFD-BD70-334708AAC101}" name="Schätzquote 2025" dataDxfId="134"/>
    <tableColumn id="4" xr3:uid="{84D72A69-6952-4DC5-874F-036EE9AE8D48}" name="Differenz" dataDxfId="133">
      <calculatedColumnFormula>Tabelle10[[#This Row],[Schätzquote 2025]]-Tabelle10[[#This Row],[Schätzquote 2024]]</calculatedColumnFormula>
    </tableColumn>
    <tableColumn id="5" xr3:uid="{DA7ABF01-3530-440F-9B9F-ABEEC914B195}" name="Zählwerke 2024" dataDxfId="132"/>
    <tableColumn id="6" xr3:uid="{274DB478-8E77-4743-B968-F3052853DE7B}" name="Zählwerke 2025" dataDxfId="131"/>
    <tableColumn id="7" xr3:uid="{9696FF04-0E77-407D-9190-9F99EB04B4F7}" name="geschätzt 2024" dataDxfId="130"/>
    <tableColumn id="8" xr3:uid="{62F14A7E-43F1-4470-8076-97A5422B72D1}" name="geschätzt 2025" dataDxfId="129"/>
    <tableColumn id="9" xr3:uid="{0F5B9F39-FCC9-46B3-9E12-63D556F677B9}" name="Rückgang" dataDxfId="128">
      <calculatedColumnFormula>Tabelle10[[#This Row],[geschätzt 2025]]-Tabelle10[[#This Row],[geschätzt 2024]]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843CB2CB-6428-4101-92C9-E0E155FA4478}" name="Tabelle104" displayName="Tabelle104" ref="A21:I37" totalsRowShown="0" headerRowDxfId="127" dataDxfId="126">
  <autoFilter ref="A21:I37" xr:uid="{843CB2CB-6428-4101-92C9-E0E155FA4478}"/>
  <tableColumns count="9">
    <tableColumn id="1" xr3:uid="{BAFBD543-DE8B-4584-B7D0-FBD8C34C04AA}" name="Portion" dataDxfId="125"/>
    <tableColumn id="2" xr3:uid="{2DCE59AF-6510-4664-BB27-03BEEB513FBC}" name="Schätzquote 2024" dataDxfId="124"/>
    <tableColumn id="3" xr3:uid="{67979A76-DD8A-44A4-805F-736E91966640}" name="Schätzquote 2025" dataDxfId="123"/>
    <tableColumn id="4" xr3:uid="{2746D03F-5608-4CB9-AFB0-CBFD36D59647}" name="Differenz" dataDxfId="122">
      <calculatedColumnFormula>Tabelle104[[#This Row],[Schätzquote 2025]]-Tabelle104[[#This Row],[Schätzquote 2024]]</calculatedColumnFormula>
    </tableColumn>
    <tableColumn id="5" xr3:uid="{5F170FCA-449C-45DD-8157-3A58A88F1BAC}" name="Zählwerke 2024" dataDxfId="121"/>
    <tableColumn id="6" xr3:uid="{877B95C1-0C45-4BC1-9CA9-7F6E34321574}" name="Zählwerke 2025" dataDxfId="120"/>
    <tableColumn id="7" xr3:uid="{79019B51-CE9F-483D-9B88-3C8CC35067BB}" name="geschätzt 2024" dataDxfId="119"/>
    <tableColumn id="8" xr3:uid="{64939A1F-40AF-4727-8F9E-2919C07A1F26}" name="geschätzt 2025" dataDxfId="118"/>
    <tableColumn id="9" xr3:uid="{4EA65231-C928-4A15-AD2A-430A3DA88CBD}" name="Rückgang" dataDxfId="117">
      <calculatedColumnFormula>Tabelle104[[#This Row],[geschätzt 2025]]-Tabelle104[[#This Row],[geschätzt 2024]]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4EA48C4-B585-48B9-AF51-C4F251C5D095}" name="Tabelle38" displayName="Tabelle38" ref="A1:D7" totalsRowShown="0" headerRowDxfId="116">
  <autoFilter ref="A1:D7" xr:uid="{34EA48C4-B585-48B9-AF51-C4F251C5D095}"/>
  <tableColumns count="4">
    <tableColumn id="1" xr3:uid="{0D739CC3-1FCD-4247-AB76-2FBF28EC5CB0}" name="Kalenderwoche"/>
    <tableColumn id="2" xr3:uid="{BB562661-1662-4DD8-A8C0-87516C71178D}" name="Datum" dataDxfId="115"/>
    <tableColumn id="3" xr3:uid="{B5015967-B388-4A55-B596-4601E8AA451E}" name="Schätzquote" dataDxfId="114"/>
    <tableColumn id="4" xr3:uid="{734FB4F2-5C97-456A-92A3-C90A420A9023}" name="Soll" dataDxfId="113" dataCellStyle="Prozent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E19E737-3B9F-4CF4-AA81-1FAA319AC557}" name="Tabelle3711" displayName="Tabelle3711" ref="A1:D6" totalsRowShown="0" headerRowDxfId="112">
  <autoFilter ref="A1:D6" xr:uid="{9E19E737-3B9F-4CF4-AA81-1FAA319AC557}"/>
  <tableColumns count="4">
    <tableColumn id="1" xr3:uid="{0162F47D-DF63-4AF0-8C7B-8CC2C8E4C928}" name="Kalenderwoche"/>
    <tableColumn id="2" xr3:uid="{4D887D0A-6118-4E62-8B5E-A34CC2A21226}" name="Datum" dataDxfId="111"/>
    <tableColumn id="3" xr3:uid="{C6FE46C7-0F66-4F1B-9E6E-FB56CFF7F4BA}" name="Schätzquote" dataDxfId="110" dataCellStyle="Prozent"/>
    <tableColumn id="4" xr3:uid="{9CCC55BF-9536-4F27-A66C-8F73108F2C21}" name="Soll" dataDxfId="109" dataCellStyle="Prozent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CC366A0-B018-46AE-8517-21802BB50F54}" name="Tabelle378" displayName="Tabelle378" ref="A1:D6" totalsRowShown="0" headerRowDxfId="108">
  <autoFilter ref="A1:D6" xr:uid="{7CC366A0-B018-46AE-8517-21802BB50F54}"/>
  <tableColumns count="4">
    <tableColumn id="1" xr3:uid="{BB7FD9CB-4EA6-486F-BF21-70603996B7C4}" name="Kalenderwoche"/>
    <tableColumn id="2" xr3:uid="{8D670731-6458-49EE-BB61-9FB77AD16B51}" name="Datum" dataDxfId="107"/>
    <tableColumn id="3" xr3:uid="{5271076F-B033-4274-81D3-FF372983180A}" name="Schätzquote" dataDxfId="106" dataCellStyle="Prozent"/>
    <tableColumn id="4" xr3:uid="{6AC9C93E-912E-409D-8173-88B0173607E6}" name="Soll" dataDxfId="105" dataCellStyle="Prozent"/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23D2D87-A1D6-4459-9F62-D220A25F1B1C}" name="Tabelle37811" displayName="Tabelle37811" ref="A1:D6" totalsRowShown="0" headerRowDxfId="104">
  <autoFilter ref="A1:D6" xr:uid="{823D2D87-A1D6-4459-9F62-D220A25F1B1C}"/>
  <tableColumns count="4">
    <tableColumn id="1" xr3:uid="{FA8698ED-979D-40D0-BF87-9E47CFA66803}" name="Kalenderwoche"/>
    <tableColumn id="2" xr3:uid="{88312040-15FE-4C0B-BC3F-2F6D787060E9}" name="Datum" dataDxfId="103"/>
    <tableColumn id="3" xr3:uid="{E30A5462-5992-4CA8-A06B-BCCA7FF423B7}" name="Schätzquote" dataDxfId="102" dataCellStyle="Prozent"/>
    <tableColumn id="4" xr3:uid="{8DBE4B39-C6B0-44A6-AB92-0AB1E12080B4}" name="Soll" dataDxfId="101" dataCellStyle="Prozent"/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0CD43F2-51DC-4E02-BED8-0D3C48AB91A5}" name="Tabelle37812" displayName="Tabelle37812" ref="A1:D6" totalsRowShown="0" headerRowDxfId="100">
  <autoFilter ref="A1:D6" xr:uid="{B0CD43F2-51DC-4E02-BED8-0D3C48AB91A5}"/>
  <tableColumns count="4">
    <tableColumn id="1" xr3:uid="{F63FDF3E-8C5A-4F66-B6C3-5EC538AEC541}" name="Kalenderwoche"/>
    <tableColumn id="2" xr3:uid="{7C55DBDC-D7C9-4E1A-99AF-F08B09F414EA}" name="Datum" dataDxfId="99"/>
    <tableColumn id="3" xr3:uid="{1F08E70D-8087-475B-868B-6C91EAF9CCB5}" name="Schätzquote" dataDxfId="98" dataCellStyle="Prozent"/>
    <tableColumn id="4" xr3:uid="{5BF41C18-267A-4A65-9B38-8212A3E00EAE}" name="Soll" dataDxfId="97" dataCellStyle="Prozent"/>
  </tableColumns>
  <tableStyleInfo name="TableStyleMedium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8E8EBE4-83D7-4AC5-834C-B682C90667F8}" name="Tabelle37813" displayName="Tabelle37813" ref="A1:D5" totalsRowShown="0" headerRowDxfId="96">
  <autoFilter ref="A1:D5" xr:uid="{A8E8EBE4-83D7-4AC5-834C-B682C90667F8}"/>
  <tableColumns count="4">
    <tableColumn id="1" xr3:uid="{E0E2283A-18C5-43F4-AAAD-52728EE90B76}" name="Kalenderwoche"/>
    <tableColumn id="2" xr3:uid="{0F11656A-A0C4-4A9A-B754-8AF3DE9B5730}" name="Datum" dataDxfId="95"/>
    <tableColumn id="3" xr3:uid="{85533E44-62B0-420A-8EAA-DB0B16587EEA}" name="Schätzquote" dataDxfId="94" dataCellStyle="Prozent"/>
    <tableColumn id="4" xr3:uid="{F4F079F2-E3F6-4CD4-8324-D4A4EBF4A5D7}" name="Soll" dataDxfId="93" dataCellStyle="Prozent"/>
  </tableColumns>
  <tableStyleInfo name="TableStyleMedium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9D7C768B-044E-4E26-A0B3-41E49DEADFCF}" name="Tabelle37814" displayName="Tabelle37814" ref="A1:D6" totalsRowShown="0" headerRowDxfId="92">
  <autoFilter ref="A1:D6" xr:uid="{9D7C768B-044E-4E26-A0B3-41E49DEADFCF}"/>
  <tableColumns count="4">
    <tableColumn id="1" xr3:uid="{E9174887-0502-4705-8E7C-9E268515FF29}" name="Kalenderwoche"/>
    <tableColumn id="2" xr3:uid="{3A359651-DA3D-4D19-988C-43CC0380C58C}" name="Datum" dataDxfId="91"/>
    <tableColumn id="3" xr3:uid="{6A84B693-A883-4B0A-AD1A-BDB02F165020}" name="Schätzquote" dataCellStyle="Prozent"/>
    <tableColumn id="4" xr3:uid="{D562C003-71ED-4D20-936E-7D2D0BB29E8B}" name="Soll" dataDxfId="90" dataCellStyle="Prozent"/>
  </tableColumns>
  <tableStyleInfo name="TableStyleMedium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D348277-E670-4E2F-AA72-AE8A9F045F39}" name="Tabelle37815" displayName="Tabelle37815" ref="A1:D5" totalsRowShown="0" headerRowDxfId="89">
  <autoFilter ref="A1:D5" xr:uid="{ED348277-E670-4E2F-AA72-AE8A9F045F39}"/>
  <tableColumns count="4">
    <tableColumn id="1" xr3:uid="{38C58BF9-FD06-4007-9A8F-DBAEF83A5F8D}" name="Kalenderwoche"/>
    <tableColumn id="2" xr3:uid="{0E78E9B3-DBBF-4A76-AB3A-31C92360B766}" name="Datum" dataDxfId="88"/>
    <tableColumn id="3" xr3:uid="{3C6BC9D6-C77D-4E59-B357-7EDC5A4D97CB}" name="Schätzquote" dataDxfId="87" dataCellStyle="Prozent"/>
    <tableColumn id="4" xr3:uid="{583B5EC4-C9A6-47A3-AD0B-B8815F784406}" name="Soll" dataDxfId="86" dataCellStyle="Prozent"/>
  </tableColumns>
  <tableStyleInfo name="TableStyleMedium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1E9496E-9D5C-4B5A-B5A9-4DE00A5AAFB7}" name="Tabelle37816" displayName="Tabelle37816" ref="A1:D5" totalsRowShown="0" headerRowDxfId="85">
  <autoFilter ref="A1:D5" xr:uid="{41E9496E-9D5C-4B5A-B5A9-4DE00A5AAFB7}"/>
  <tableColumns count="4">
    <tableColumn id="1" xr3:uid="{B8AF8C37-A312-46F6-B025-5A0D9DA966DC}" name="Kalenderwoche"/>
    <tableColumn id="2" xr3:uid="{6CE7F0AD-A57F-4072-9097-79D265BC5F31}" name="Datum" dataDxfId="84"/>
    <tableColumn id="3" xr3:uid="{F4736BE8-C4FC-4232-A847-DA2E97881DFF}" name="Schätzquote" dataDxfId="83" dataCellStyle="Prozent"/>
    <tableColumn id="4" xr3:uid="{4866F610-3637-4759-8EB3-FE2E60AB9E20}" name="Soll" dataDxfId="82" dataCellStyle="Prozent"/>
  </tableColumns>
  <tableStyleInfo name="TableStyleMedium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1E57816-7906-4D58-985B-C55795E8646B}" name="Tabelle37817" displayName="Tabelle37817" ref="A1:D5" totalsRowShown="0" headerRowDxfId="81">
  <autoFilter ref="A1:D5" xr:uid="{61E57816-7906-4D58-985B-C55795E8646B}"/>
  <tableColumns count="4">
    <tableColumn id="1" xr3:uid="{19E8F4C7-758D-40F5-8FCD-E9816EA5FD3A}" name="Kalenderwoche"/>
    <tableColumn id="2" xr3:uid="{E788E12D-FCE9-4A35-A08E-25644EEB6F46}" name="Datum" dataDxfId="80"/>
    <tableColumn id="3" xr3:uid="{FECFC269-E1D8-4A2C-8D76-C1F1A83617EC}" name="Schätzquote" dataCellStyle="Prozent"/>
    <tableColumn id="4" xr3:uid="{FAE5DF62-388A-49ED-9AB3-067B5DC74008}" name="Soll" dataDxfId="79" dataCellStyle="Prozent"/>
  </tableColumns>
  <tableStyleInfo name="TableStyleMedium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BF33FC6F-2CDD-4889-A080-98B09483176F}" name="Tabelle37818" displayName="Tabelle37818" ref="A1:D5" totalsRowShown="0" headerRowDxfId="78">
  <autoFilter ref="A1:D5" xr:uid="{BF33FC6F-2CDD-4889-A080-98B09483176F}"/>
  <tableColumns count="4">
    <tableColumn id="1" xr3:uid="{7EEFB1A7-461F-45C6-BE99-BBA1EDA5B902}" name="Kalenderwoche"/>
    <tableColumn id="2" xr3:uid="{5983C7B4-F7D6-4762-AD95-9ADD40B48BB7}" name="Datum" dataDxfId="77"/>
    <tableColumn id="3" xr3:uid="{F1F89F9F-76DB-48C1-B87B-C8591872F4A9}" name="Schätzquote" dataCellStyle="Prozent"/>
    <tableColumn id="4" xr3:uid="{DB9A414D-6152-484A-B2E7-C0D3C812BEB0}" name="Soll" dataDxfId="76" dataCellStyle="Prozent"/>
  </tableColumns>
  <tableStyleInfo name="TableStyleMedium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4DCE2D7-079E-45F9-A483-2100ABCB9FC7}" name="Tabelle37819" displayName="Tabelle37819" ref="A1:D5" totalsRowShown="0" headerRowDxfId="75">
  <autoFilter ref="A1:D5" xr:uid="{44DCE2D7-079E-45F9-A483-2100ABCB9FC7}"/>
  <tableColumns count="4">
    <tableColumn id="1" xr3:uid="{20FA05F8-D716-4321-B90D-78DC5E48213A}" name="Kalenderwoche"/>
    <tableColumn id="2" xr3:uid="{1A0B90AB-05A1-4D79-8D30-C26D0FCF3743}" name="Datum" dataDxfId="74"/>
    <tableColumn id="3" xr3:uid="{2417DD25-F869-4724-A107-481ED6B2DE54}" name="Schätzquote" dataDxfId="73" dataCellStyle="Prozent"/>
    <tableColumn id="4" xr3:uid="{853C32F3-9EC1-4C91-840A-92A11DF8B56A}" name="Soll" dataDxfId="72" dataCellStyle="Prozent"/>
  </tableColumns>
  <tableStyleInfo name="TableStyleMedium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4DA67465-ECF3-4786-8CF6-6C00FCA56E9C}" name="Tabelle37820" displayName="Tabelle37820" ref="A1:D7" totalsRowShown="0" headerRowDxfId="71">
  <autoFilter ref="A1:D7" xr:uid="{4DA67465-ECF3-4786-8CF6-6C00FCA56E9C}"/>
  <tableColumns count="4">
    <tableColumn id="1" xr3:uid="{61AA1F5F-9837-4F24-8AE7-A5A0B8B1261A}" name="Kalenderwoche"/>
    <tableColumn id="2" xr3:uid="{E88474AE-0E19-4BFC-B24E-00F1964668FC}" name="Datum" dataDxfId="70"/>
    <tableColumn id="3" xr3:uid="{EFF63FE8-4130-4B7B-A8A6-20D074900DFE}" name="Schätzquote" dataDxfId="69" dataCellStyle="Prozent"/>
    <tableColumn id="4" xr3:uid="{ABDFD864-C7F6-4D23-93FD-42D7F363030D}" name="Soll" dataDxfId="68"/>
  </tableColumns>
  <tableStyleInfo name="TableStyleMedium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F1F58B6-DE68-4E79-A4B0-40804AA743BF}" name="Tabelle37821" displayName="Tabelle37821" ref="A1:D6" totalsRowShown="0" headerRowDxfId="67">
  <autoFilter ref="A1:D6" xr:uid="{1F1F58B6-DE68-4E79-A4B0-40804AA743BF}"/>
  <tableColumns count="4">
    <tableColumn id="1" xr3:uid="{D2111651-A739-4FBB-93CB-A6F69DC76386}" name="Kalenderwoche"/>
    <tableColumn id="2" xr3:uid="{9E7EE5A5-DEE5-42DB-9718-00F0302CB44C}" name="Datum" dataDxfId="66"/>
    <tableColumn id="3" xr3:uid="{A02BA7C5-27AB-4338-9ADB-F2C635FBDD7D}" name="Schätzquote" dataDxfId="65" dataCellStyle="Prozent"/>
    <tableColumn id="4" xr3:uid="{36B195F5-63A3-497D-ACDB-23737B2C9A07}" name="Soll" dataDxfId="64" dataCellStyle="Prozent"/>
  </tableColumns>
  <tableStyleInfo name="TableStyleMedium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D80A41E-7772-4FEF-B5E5-6AC7A236B28C}" name="Tabelle37823" displayName="Tabelle37823" ref="A1:D6" totalsRowShown="0" headerRowDxfId="63">
  <autoFilter ref="A1:D6" xr:uid="{6D80A41E-7772-4FEF-B5E5-6AC7A236B28C}"/>
  <tableColumns count="4">
    <tableColumn id="1" xr3:uid="{ACC40D73-F2F7-4231-B67C-E8561DF15FB0}" name="Kalenderwoche"/>
    <tableColumn id="2" xr3:uid="{69BAE8AE-6B04-497F-A65B-08915CBFADCC}" name="Datum" dataDxfId="62"/>
    <tableColumn id="3" xr3:uid="{4027354F-C32A-4492-A0D6-96FC28F69DD5}" name="Schätzquote" dataDxfId="61" dataCellStyle="Prozent"/>
    <tableColumn id="4" xr3:uid="{24574338-3192-4F31-A61C-3585AEC6511A}" name="Soll" dataDxfId="60"/>
  </tableColumns>
  <tableStyleInfo name="TableStyleMedium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54B4CAC-7F4C-4707-946C-C00DF7CB6ED0}" name="Tabelle378233" displayName="Tabelle378233" ref="A1:D5" totalsRowShown="0" headerRowDxfId="59">
  <autoFilter ref="A1:D5" xr:uid="{6D80A41E-7772-4FEF-B5E5-6AC7A236B28C}"/>
  <tableColumns count="4">
    <tableColumn id="1" xr3:uid="{0F035C69-9F92-4442-AA39-A64908E9D474}" name="Kalenderwoche"/>
    <tableColumn id="2" xr3:uid="{4D9F0821-056A-49A6-9F0A-225D61E2168A}" name="Datum" dataDxfId="58"/>
    <tableColumn id="3" xr3:uid="{371490C0-FE75-468B-8DF8-3E4E0B91E9EE}" name="Schätzquote" dataDxfId="57" dataCellStyle="Prozent"/>
    <tableColumn id="4" xr3:uid="{79D64ADC-25AD-4790-BE1E-A3E5734F85FC}" name="Soll" dataDxfId="56"/>
  </tableColumns>
  <tableStyleInfo name="TableStyleMedium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027F8B-00FC-41DA-A46F-DBE2DEBBD2DF}" name="Tabelle3782334" displayName="Tabelle3782334" ref="A1:D7" totalsRowShown="0" headerRowDxfId="55">
  <autoFilter ref="A1:D7" xr:uid="{6D80A41E-7772-4FEF-B5E5-6AC7A236B28C}"/>
  <tableColumns count="4">
    <tableColumn id="1" xr3:uid="{6DAABEA0-74F4-4B20-9DE9-A781B6B7AB43}" name="Kalenderwoche"/>
    <tableColumn id="2" xr3:uid="{58752246-6568-4E4C-9DA4-11821AA71EA7}" name="Datum" dataDxfId="54"/>
    <tableColumn id="3" xr3:uid="{64902C62-7DB6-4E1C-9583-EC434FBC72B2}" name="Schätzquote" dataDxfId="53" dataCellStyle="Prozent"/>
    <tableColumn id="4" xr3:uid="{77A6822E-8731-4DFE-AB8C-4E7D8E6D1F44}" name="Soll" dataDxfId="52"/>
  </tableColumns>
  <tableStyleInfo name="TableStyleMedium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B7B2238-3CF5-4F8D-BB7E-B1FC53197EF0}" name="Tabelle37823347" displayName="Tabelle37823347" ref="A1:D7" totalsRowShown="0" headerRowDxfId="51">
  <autoFilter ref="A1:D7" xr:uid="{6D80A41E-7772-4FEF-B5E5-6AC7A236B28C}"/>
  <tableColumns count="4">
    <tableColumn id="1" xr3:uid="{646BF6CA-3239-4DA9-BA8C-2127CFD35A43}" name="Kalenderwoche"/>
    <tableColumn id="2" xr3:uid="{BDBB5F2F-EA1F-400C-8145-5ECB206144DE}" name="Datum" dataDxfId="50"/>
    <tableColumn id="3" xr3:uid="{703681B2-3BD8-481A-9638-712510B2D9F0}" name="Schätzquote" dataDxfId="49" dataCellStyle="Prozent"/>
    <tableColumn id="4" xr3:uid="{A98C567A-4FFB-44C0-869E-DAE821124057}" name="Soll" dataDxfId="48"/>
  </tableColumns>
  <tableStyleInfo name="TableStyleMedium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9460F82F-6B10-45BE-B3D8-42DE1AB5163C}" name="Tabelle3782334725" displayName="Tabelle3782334725" ref="A1:D8" totalsRowShown="0" headerRowDxfId="47">
  <autoFilter ref="A1:D8" xr:uid="{6D80A41E-7772-4FEF-B5E5-6AC7A236B28C}"/>
  <tableColumns count="4">
    <tableColumn id="1" xr3:uid="{02CC9550-0F37-4917-A574-BFFB50A96736}" name="Kalenderwoche"/>
    <tableColumn id="2" xr3:uid="{436F3101-7EAA-48B3-BFDD-0956F3AF6900}" name="Datum" dataDxfId="46"/>
    <tableColumn id="3" xr3:uid="{476AFD46-998C-4C5F-A852-7B53A946996C}" name="Schätzquote" dataDxfId="45" dataCellStyle="Prozent"/>
    <tableColumn id="4" xr3:uid="{32B74984-1D02-4016-94A4-2041E12DDFCE}" name="Soll" dataDxfId="44"/>
  </tableColumns>
  <tableStyleInfo name="TableStyleMedium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64C9DDB7-3F7C-4079-9650-84B0012B36AB}" name="Tabelle378233472526" displayName="Tabelle378233472526" ref="A1:D7" totalsRowShown="0" headerRowDxfId="43">
  <autoFilter ref="A1:D7" xr:uid="{6D80A41E-7772-4FEF-B5E5-6AC7A236B28C}"/>
  <tableColumns count="4">
    <tableColumn id="1" xr3:uid="{C308AADF-3A40-48A7-BB55-AD220A842AD7}" name="Kalenderwoche"/>
    <tableColumn id="2" xr3:uid="{4EBB2C7A-A4E3-485B-990F-6066817FA819}" name="Datum" dataDxfId="42"/>
    <tableColumn id="3" xr3:uid="{BA11A09F-BA02-4395-B072-09AB7E569E35}" name="Schätzquote" dataDxfId="41" dataCellStyle="Prozent"/>
    <tableColumn id="4" xr3:uid="{A5371215-710D-4241-AD40-6B2796C043C5}" name="Soll" dataDxfId="40"/>
  </tableColumns>
  <tableStyleInfo name="TableStyleMedium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F746722F-EC32-4141-84FB-06F923F660F6}" name="Tabelle37823347252627" displayName="Tabelle37823347252627" ref="A1:D9" totalsRowShown="0" headerRowDxfId="39">
  <autoFilter ref="A1:D9" xr:uid="{6D80A41E-7772-4FEF-B5E5-6AC7A236B28C}"/>
  <tableColumns count="4">
    <tableColumn id="1" xr3:uid="{5D4FAF3E-0B9E-4ABE-9F34-553C23C97074}" name="Kalenderwoche"/>
    <tableColumn id="2" xr3:uid="{3C1F084C-A3B6-4487-ABF9-E0AAFDE38B7F}" name="Datum" dataDxfId="38"/>
    <tableColumn id="3" xr3:uid="{0AE9A382-46FC-42F4-BAA0-3C939D42E546}" name="Schätzquote" dataDxfId="37" dataCellStyle="Prozent"/>
    <tableColumn id="4" xr3:uid="{6BA8A042-10F9-4CDC-833A-9211FDFAEE82}" name="Soll" dataDxfId="36"/>
  </tableColumns>
  <tableStyleInfo name="TableStyleMedium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C28DA30E-A9C0-4012-9FCC-1C6CCD956924}" name="Tabelle3782334725262728" displayName="Tabelle3782334725262728" ref="A1:D7" totalsRowShown="0" headerRowDxfId="35">
  <autoFilter ref="A1:D7" xr:uid="{6D80A41E-7772-4FEF-B5E5-6AC7A236B28C}"/>
  <tableColumns count="4">
    <tableColumn id="1" xr3:uid="{74354B52-EB39-47BD-B23A-36CEDF9369CF}" name="Kalenderwoche"/>
    <tableColumn id="2" xr3:uid="{7370BCDE-F593-4B18-97DC-325B6F352444}" name="Datum" dataDxfId="34"/>
    <tableColumn id="3" xr3:uid="{FBE43AD0-0C99-4420-A49A-4675074B953F}" name="Schätzquote" dataDxfId="33" dataCellStyle="Prozent"/>
    <tableColumn id="4" xr3:uid="{D7B20D4C-9192-49F3-9CB1-8E2360751260}" name="Soll" dataDxfId="32"/>
  </tableColumns>
  <tableStyleInfo name="TableStyleMedium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AB14FD7D-60E7-4D23-AB9D-5B1FB9071EA3}" name="Tabelle378233472526272829" displayName="Tabelle378233472526272829" ref="A1:D7" totalsRowShown="0" headerRowDxfId="31">
  <autoFilter ref="A1:D7" xr:uid="{6D80A41E-7772-4FEF-B5E5-6AC7A236B28C}"/>
  <tableColumns count="4">
    <tableColumn id="1" xr3:uid="{28E81E1F-512F-49D4-A1F1-2EAFA7AFB8A3}" name="Kalenderwoche"/>
    <tableColumn id="2" xr3:uid="{2FEFD3A2-5E5A-471D-AC8B-4FB831610A6C}" name="Datum" dataDxfId="30"/>
    <tableColumn id="3" xr3:uid="{D2A15B50-1097-4AEF-9754-3ACE4C007E89}" name="Schätzquote" dataDxfId="29" dataCellStyle="Prozent"/>
    <tableColumn id="4" xr3:uid="{70291BC2-8300-4A57-96B3-1CD07C54A33C}" name="Soll" dataDxfId="28"/>
  </tableColumns>
  <tableStyleInfo name="TableStyleMedium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36DAE87C-717D-4F7A-855C-30E485153C98}" name="Tabelle37823347252627282930" displayName="Tabelle37823347252627282930" ref="A1:D8" totalsRowShown="0" headerRowDxfId="27">
  <autoFilter ref="A1:D8" xr:uid="{6D80A41E-7772-4FEF-B5E5-6AC7A236B28C}"/>
  <tableColumns count="4">
    <tableColumn id="1" xr3:uid="{84DC4869-BBF1-4817-9CD6-4FC28A0AF75B}" name="Kalenderwoche"/>
    <tableColumn id="2" xr3:uid="{5E84CE4E-FEA5-494F-8457-8326EA97760A}" name="Datum" dataDxfId="26"/>
    <tableColumn id="3" xr3:uid="{699A1722-3860-425C-BB6F-A5ABF0793804}" name="Schätzquote" dataDxfId="25" dataCellStyle="Prozent"/>
    <tableColumn id="4" xr3:uid="{C5FF5246-5EFE-4015-9A6A-EC089FF55BCA}" name="Soll" dataDxfId="24"/>
  </tableColumns>
  <tableStyleInfo name="TableStyleMedium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07B480F-16FD-4DE4-87BC-AAB767E757B1}" name="Tabelle3782334725262728293031" displayName="Tabelle3782334725262728293031" ref="A1:D7" totalsRowShown="0" headerRowDxfId="23">
  <autoFilter ref="A1:D7" xr:uid="{6D80A41E-7772-4FEF-B5E5-6AC7A236B28C}"/>
  <tableColumns count="4">
    <tableColumn id="1" xr3:uid="{05435BEB-39BC-482F-A29C-1C18CF2D2F74}" name="Kalenderwoche"/>
    <tableColumn id="2" xr3:uid="{6B051274-AA1D-42C8-B33F-77895A8F4FC1}" name="Datum" dataDxfId="22"/>
    <tableColumn id="3" xr3:uid="{65D49079-7152-44A2-A8AA-DC308879131E}" name="Schätzquote" dataDxfId="21" dataCellStyle="Prozent"/>
    <tableColumn id="4" xr3:uid="{800CB2AE-AE5A-45B5-A20F-FA64897E8C06}" name="Soll" dataDxfId="20"/>
  </tableColumns>
  <tableStyleInfo name="TableStyleMedium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8C86377-B758-443A-B279-1D4F7C417E5D}" name="Tabelle378233472526272829303132" displayName="Tabelle378233472526272829303132" ref="A1:D8" totalsRowShown="0" headerRowDxfId="19">
  <autoFilter ref="A1:D8" xr:uid="{6D80A41E-7772-4FEF-B5E5-6AC7A236B28C}"/>
  <tableColumns count="4">
    <tableColumn id="1" xr3:uid="{956C3267-3AAA-46E0-85EF-78A3ED4CCB1D}" name="Kalenderwoche"/>
    <tableColumn id="2" xr3:uid="{69DB7F71-AEEF-4F28-958B-EF5BFAFA7C29}" name="Datum" dataDxfId="18"/>
    <tableColumn id="3" xr3:uid="{AE5D32F6-ECB0-4A72-B0BB-CD6C408FA371}" name="Schätzquote" dataDxfId="17" dataCellStyle="Prozent"/>
    <tableColumn id="4" xr3:uid="{2CAC1AA3-9BA0-4047-87C8-7AE938D2627C}" name="Soll" dataDxfId="16"/>
  </tableColumns>
  <tableStyleInfo name="TableStyleMedium1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E47EABFC-C7A2-41B0-88A5-9A9F864F77D5}" name="Tabelle37823347252627282930313233" displayName="Tabelle37823347252627282930313233" ref="A1:D11" totalsRowShown="0" headerRowDxfId="15">
  <autoFilter ref="A1:D11" xr:uid="{6D80A41E-7772-4FEF-B5E5-6AC7A236B28C}"/>
  <tableColumns count="4">
    <tableColumn id="1" xr3:uid="{DA108128-FF2F-4300-9725-3B2126127842}" name="Kalenderwoche"/>
    <tableColumn id="2" xr3:uid="{B149EA94-B133-44F8-A59E-7D6CF0F8DA86}" name="Datum" dataDxfId="14"/>
    <tableColumn id="3" xr3:uid="{CD76D703-9251-48A5-9624-B8B435097425}" name="Schätzquote" dataDxfId="13" dataCellStyle="Prozent"/>
    <tableColumn id="4" xr3:uid="{A9385063-53AD-4A57-954B-19464397A98E}" name="Soll" dataDxfId="12"/>
  </tableColumns>
  <tableStyleInfo name="TableStyleMedium1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2C9B07B1-5C8E-43C4-94BD-D66F96DABFC2}" name="Tabelle3782334725262728293031323334" displayName="Tabelle3782334725262728293031323334" ref="A1:D7" totalsRowShown="0" headerRowDxfId="11">
  <autoFilter ref="A1:D7" xr:uid="{6D80A41E-7772-4FEF-B5E5-6AC7A236B28C}"/>
  <tableColumns count="4">
    <tableColumn id="1" xr3:uid="{B080A4B9-FA3C-4FD8-B896-2801984053BE}" name="Kalenderwoche"/>
    <tableColumn id="2" xr3:uid="{473CE635-DBC6-4CC4-A63B-ED3FC44C5E1E}" name="Datum" dataDxfId="10"/>
    <tableColumn id="3" xr3:uid="{6D3632B5-FE06-4F37-B6A3-A1276CA07E14}" name="Schätzquote" dataDxfId="9" dataCellStyle="Prozent"/>
    <tableColumn id="4" xr3:uid="{90FCB6BD-F934-4455-A435-02D196794023}" name="Soll" dataDxfId="8"/>
  </tableColumns>
  <tableStyleInfo name="TableStyleMedium1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2E065E98-8E99-43D8-9683-1BB075D90256}" name="Tabelle378233472526272829303132333435" displayName="Tabelle378233472526272829303132333435" ref="A1:D7" totalsRowShown="0" headerRowDxfId="7">
  <autoFilter ref="A1:D7" xr:uid="{6D80A41E-7772-4FEF-B5E5-6AC7A236B28C}"/>
  <tableColumns count="4">
    <tableColumn id="1" xr3:uid="{9BDB2361-95A9-48C8-BE07-96DCBA452D78}" name="Kalenderwoche"/>
    <tableColumn id="2" xr3:uid="{454F2426-7366-4BC8-BCCC-B27065BC46B5}" name="Datum" dataDxfId="6"/>
    <tableColumn id="3" xr3:uid="{0FA19C34-8800-48B9-870D-C7DBB43C2C74}" name="Schätzquote" dataDxfId="5" dataCellStyle="Prozent"/>
    <tableColumn id="4" xr3:uid="{E2C012DB-93A4-4B14-BB02-DF6D544171CC}" name="Soll" dataDxfId="4"/>
  </tableColumns>
  <tableStyleInfo name="TableStyleMedium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5105C015-B10B-4479-BB27-188D67B47F3E}" name="Tabelle37823347252627282930313233343536" displayName="Tabelle37823347252627282930313233343536" ref="A1:D7" totalsRowShown="0" headerRowDxfId="3">
  <autoFilter ref="A1:D7" xr:uid="{6D80A41E-7772-4FEF-B5E5-6AC7A236B28C}"/>
  <tableColumns count="4">
    <tableColumn id="1" xr3:uid="{E9330DB0-26C9-426A-A738-BA4DA7E10673}" name="Kalenderwoche"/>
    <tableColumn id="2" xr3:uid="{40C49C8A-1A83-4683-B86E-D0D1FC71E537}" name="Datum" dataDxfId="2"/>
    <tableColumn id="3" xr3:uid="{BB8A6A3A-3FDB-4AA6-BB16-BF83112DB188}" name="Schätzquote" dataDxfId="1" dataCellStyle="Prozent"/>
    <tableColumn id="4" xr3:uid="{46BEFD08-6DAF-4EB0-A9AE-6F42D8FDB49B}" name="Soll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2013 – 2022-Design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5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drawing" Target="../drawings/drawing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56ECE-552E-4C80-AAF0-ECEA41D64858}">
  <sheetPr codeName="Tabelle1"/>
  <dimension ref="A1:U4"/>
  <sheetViews>
    <sheetView showGridLines="0" tabSelected="1" zoomScaleNormal="100" workbookViewId="0">
      <selection activeCell="O1" sqref="O1:U4"/>
    </sheetView>
  </sheetViews>
  <sheetFormatPr baseColWidth="10" defaultRowHeight="13.8" x14ac:dyDescent="0.25"/>
  <sheetData>
    <row r="1" spans="1:21" x14ac:dyDescent="0.25">
      <c r="A1" s="85"/>
      <c r="B1" s="85"/>
      <c r="C1" s="85"/>
      <c r="D1" s="85"/>
      <c r="E1" s="85"/>
      <c r="F1" s="85"/>
      <c r="G1" s="85"/>
      <c r="H1" s="84" t="s">
        <v>76</v>
      </c>
      <c r="I1" s="84"/>
      <c r="J1" s="84"/>
      <c r="K1" s="84"/>
      <c r="L1" s="84"/>
      <c r="M1" s="84"/>
      <c r="N1" s="84"/>
      <c r="O1" s="85"/>
      <c r="P1" s="85"/>
      <c r="Q1" s="85"/>
      <c r="R1" s="85"/>
      <c r="S1" s="85"/>
      <c r="T1" s="85"/>
      <c r="U1" s="85"/>
    </row>
    <row r="2" spans="1:21" x14ac:dyDescent="0.25">
      <c r="A2" s="85"/>
      <c r="B2" s="85"/>
      <c r="C2" s="85"/>
      <c r="D2" s="85"/>
      <c r="E2" s="85"/>
      <c r="F2" s="85"/>
      <c r="G2" s="85"/>
      <c r="H2" s="84"/>
      <c r="I2" s="84"/>
      <c r="J2" s="84"/>
      <c r="K2" s="84"/>
      <c r="L2" s="84"/>
      <c r="M2" s="84"/>
      <c r="N2" s="84"/>
      <c r="O2" s="85"/>
      <c r="P2" s="85"/>
      <c r="Q2" s="85"/>
      <c r="R2" s="85"/>
      <c r="S2" s="85"/>
      <c r="T2" s="85"/>
      <c r="U2" s="85"/>
    </row>
    <row r="3" spans="1:21" x14ac:dyDescent="0.25">
      <c r="A3" s="85"/>
      <c r="B3" s="85"/>
      <c r="C3" s="85"/>
      <c r="D3" s="85"/>
      <c r="E3" s="85"/>
      <c r="F3" s="85"/>
      <c r="G3" s="85"/>
      <c r="H3" s="84"/>
      <c r="I3" s="84"/>
      <c r="J3" s="84"/>
      <c r="K3" s="84"/>
      <c r="L3" s="84"/>
      <c r="M3" s="84"/>
      <c r="N3" s="84"/>
      <c r="O3" s="85"/>
      <c r="P3" s="85"/>
      <c r="Q3" s="85"/>
      <c r="R3" s="85"/>
      <c r="S3" s="85"/>
      <c r="T3" s="85"/>
      <c r="U3" s="85"/>
    </row>
    <row r="4" spans="1:21" x14ac:dyDescent="0.25">
      <c r="A4" s="85"/>
      <c r="B4" s="85"/>
      <c r="C4" s="85"/>
      <c r="D4" s="85"/>
      <c r="E4" s="85"/>
      <c r="F4" s="85"/>
      <c r="G4" s="85"/>
      <c r="H4" s="84"/>
      <c r="I4" s="84"/>
      <c r="J4" s="84"/>
      <c r="K4" s="84"/>
      <c r="L4" s="84"/>
      <c r="M4" s="84"/>
      <c r="N4" s="84"/>
      <c r="O4" s="85"/>
      <c r="P4" s="85"/>
      <c r="Q4" s="85"/>
      <c r="R4" s="85"/>
      <c r="S4" s="85"/>
      <c r="T4" s="85"/>
      <c r="U4" s="85"/>
    </row>
  </sheetData>
  <sheetProtection algorithmName="SHA-512" hashValue="ozge4cc0p5QyURShD9mNmXaj3ENDIDBu5RkhU7xRuangYElplEtpTKS7S+Ft9i5Gc9gL7XfqFyxj7dkhiJfuLg==" saltValue="lqebDDvKupb9obsaT7fUxw==" spinCount="100000" sheet="1" selectLockedCells="1" selectUnlockedCells="1"/>
  <mergeCells count="3">
    <mergeCell ref="H1:N4"/>
    <mergeCell ref="A1:G4"/>
    <mergeCell ref="O1:U4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Aktualisieren">
          <controlPr defaultSize="0" autoLine="0" r:id="rId5">
            <anchor moveWithCells="1">
              <from>
                <xdr:col>12</xdr:col>
                <xdr:colOff>289560</xdr:colOff>
                <xdr:row>0</xdr:row>
                <xdr:rowOff>15240</xdr:rowOff>
              </from>
              <to>
                <xdr:col>15</xdr:col>
                <xdr:colOff>236220</xdr:colOff>
                <xdr:row>4</xdr:row>
                <xdr:rowOff>22860</xdr:rowOff>
              </to>
            </anchor>
          </controlPr>
        </control>
      </mc:Choice>
      <mc:Fallback>
        <control shapeId="1025" r:id="rId4" name="Aktualisieren"/>
      </mc:Fallback>
    </mc:AlternateContent>
    <mc:AlternateContent xmlns:mc="http://schemas.openxmlformats.org/markup-compatibility/2006">
      <mc:Choice Requires="x14">
        <control shapeId="1026" r:id="rId6" name="Speichern">
          <controlPr defaultSize="0" autoLine="0" r:id="rId7">
            <anchor moveWithCells="1">
              <from>
                <xdr:col>15</xdr:col>
                <xdr:colOff>304800</xdr:colOff>
                <xdr:row>0</xdr:row>
                <xdr:rowOff>15240</xdr:rowOff>
              </from>
              <to>
                <xdr:col>18</xdr:col>
                <xdr:colOff>190500</xdr:colOff>
                <xdr:row>4</xdr:row>
                <xdr:rowOff>7620</xdr:rowOff>
              </to>
            </anchor>
          </controlPr>
        </control>
      </mc:Choice>
      <mc:Fallback>
        <control shapeId="1026" r:id="rId6" name="Speichern"/>
      </mc:Fallback>
    </mc:AlternateContent>
    <mc:AlternateContent xmlns:mc="http://schemas.openxmlformats.org/markup-compatibility/2006">
      <mc:Choice Requires="x14">
        <control shapeId="1027" r:id="rId8" name="Löschen">
          <controlPr defaultSize="0" autoLine="0" r:id="rId9">
            <anchor moveWithCells="1">
              <from>
                <xdr:col>18</xdr:col>
                <xdr:colOff>259080</xdr:colOff>
                <xdr:row>0</xdr:row>
                <xdr:rowOff>15240</xdr:rowOff>
              </from>
              <to>
                <xdr:col>20</xdr:col>
                <xdr:colOff>274320</xdr:colOff>
                <xdr:row>4</xdr:row>
                <xdr:rowOff>0</xdr:rowOff>
              </to>
            </anchor>
          </controlPr>
        </control>
      </mc:Choice>
      <mc:Fallback>
        <control shapeId="1027" r:id="rId8" name="Löschen"/>
      </mc:Fallback>
    </mc:AlternateContent>
    <mc:AlternateContent xmlns:mc="http://schemas.openxmlformats.org/markup-compatibility/2006">
      <mc:Choice Requires="x14">
        <control shapeId="1028" r:id="rId10" name="Geschätzte_Laufwerke">
          <controlPr defaultSize="0" autoLine="0" r:id="rId11">
            <anchor moveWithCells="1">
              <from>
                <xdr:col>1</xdr:col>
                <xdr:colOff>0</xdr:colOff>
                <xdr:row>0</xdr:row>
                <xdr:rowOff>30480</xdr:rowOff>
              </from>
              <to>
                <xdr:col>5</xdr:col>
                <xdr:colOff>800100</xdr:colOff>
                <xdr:row>4</xdr:row>
                <xdr:rowOff>7620</xdr:rowOff>
              </to>
            </anchor>
          </controlPr>
        </control>
      </mc:Choice>
      <mc:Fallback>
        <control shapeId="1028" r:id="rId10" name="Geschätzte_Laufwerk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F6C6C-EFF2-42A7-AD83-95557F6B8813}">
  <sheetPr codeName="Tabelle2">
    <pageSetUpPr fitToPage="1"/>
  </sheetPr>
  <dimension ref="A1:R32"/>
  <sheetViews>
    <sheetView topLeftCell="G1" workbookViewId="0">
      <pane ySplit="1" topLeftCell="A2" activePane="bottomLeft" state="frozen"/>
      <selection pane="bottomLeft" activeCell="R14" sqref="R14"/>
    </sheetView>
  </sheetViews>
  <sheetFormatPr baseColWidth="10" defaultRowHeight="13.8" x14ac:dyDescent="0.25"/>
  <cols>
    <col min="2" max="2" width="29.69921875" bestFit="1" customWidth="1"/>
    <col min="3" max="4" width="14.796875" bestFit="1" customWidth="1"/>
    <col min="5" max="5" width="14.796875" customWidth="1"/>
    <col min="6" max="6" width="14.296875" bestFit="1" customWidth="1"/>
    <col min="7" max="7" width="17" bestFit="1" customWidth="1"/>
    <col min="8" max="9" width="14.796875" bestFit="1" customWidth="1"/>
    <col min="10" max="10" width="15.5" customWidth="1"/>
    <col min="11" max="11" width="14.796875" bestFit="1" customWidth="1"/>
    <col min="12" max="12" width="28.59765625" customWidth="1"/>
    <col min="13" max="13" width="14.19921875" bestFit="1" customWidth="1"/>
    <col min="16" max="16" width="14.5" bestFit="1" customWidth="1"/>
    <col min="17" max="17" width="21.5" bestFit="1" customWidth="1"/>
    <col min="18" max="18" width="52.5" bestFit="1" customWidth="1"/>
  </cols>
  <sheetData>
    <row r="1" spans="1:18" ht="47.4" thickBot="1" x14ac:dyDescent="0.3">
      <c r="A1" s="21" t="s">
        <v>44</v>
      </c>
      <c r="B1" s="21" t="s">
        <v>45</v>
      </c>
      <c r="C1" s="22" t="s">
        <v>30</v>
      </c>
      <c r="D1" s="22" t="s">
        <v>31</v>
      </c>
      <c r="E1" s="22" t="s">
        <v>77</v>
      </c>
      <c r="F1" s="22" t="s">
        <v>32</v>
      </c>
      <c r="G1" s="22" t="s">
        <v>33</v>
      </c>
      <c r="H1" s="22" t="s">
        <v>34</v>
      </c>
      <c r="I1" s="22" t="s">
        <v>35</v>
      </c>
      <c r="J1" s="22" t="s">
        <v>36</v>
      </c>
      <c r="K1" s="22" t="s">
        <v>37</v>
      </c>
      <c r="L1" s="22" t="s">
        <v>38</v>
      </c>
      <c r="M1" s="22" t="s">
        <v>39</v>
      </c>
      <c r="N1" s="22" t="s">
        <v>40</v>
      </c>
      <c r="O1" s="21" t="s">
        <v>41</v>
      </c>
      <c r="P1" s="22" t="s">
        <v>42</v>
      </c>
      <c r="Q1" s="22" t="s">
        <v>43</v>
      </c>
      <c r="R1" s="22" t="s">
        <v>139</v>
      </c>
    </row>
    <row r="2" spans="1:18" ht="14.4" x14ac:dyDescent="0.3">
      <c r="A2" s="1" t="s">
        <v>0</v>
      </c>
      <c r="B2" s="1" t="s">
        <v>1</v>
      </c>
      <c r="C2" s="2">
        <v>13612</v>
      </c>
      <c r="D2" s="2">
        <v>3400</v>
      </c>
      <c r="E2" s="38">
        <v>45695</v>
      </c>
      <c r="F2" s="3">
        <v>2807</v>
      </c>
      <c r="G2" s="31">
        <v>0.82558823529411762</v>
      </c>
      <c r="H2" s="5">
        <v>10212</v>
      </c>
      <c r="I2" s="3">
        <v>10116</v>
      </c>
      <c r="J2" s="4">
        <v>0.99059929494712107</v>
      </c>
      <c r="K2" s="5">
        <v>578</v>
      </c>
      <c r="L2" s="33">
        <v>45688</v>
      </c>
      <c r="M2" s="33">
        <v>45691</v>
      </c>
      <c r="N2" s="25">
        <v>4.2462533059065527E-2</v>
      </c>
      <c r="O2" s="6">
        <v>0.02</v>
      </c>
      <c r="P2" s="6">
        <v>4.2462533059065527E-2</v>
      </c>
      <c r="Q2" s="74">
        <v>3</v>
      </c>
    </row>
    <row r="3" spans="1:18" ht="14.4" x14ac:dyDescent="0.3">
      <c r="A3" s="7" t="s">
        <v>2</v>
      </c>
      <c r="B3" s="7" t="s">
        <v>3</v>
      </c>
      <c r="C3" s="8">
        <v>11169</v>
      </c>
      <c r="D3" s="8">
        <v>3125</v>
      </c>
      <c r="E3" s="34">
        <v>45698</v>
      </c>
      <c r="F3" s="9">
        <v>2840</v>
      </c>
      <c r="G3" s="26">
        <v>0.90880000000000005</v>
      </c>
      <c r="H3" s="11">
        <v>8044</v>
      </c>
      <c r="I3" s="9">
        <v>8003</v>
      </c>
      <c r="J3" s="26">
        <v>0.99490303331675778</v>
      </c>
      <c r="K3" s="29">
        <v>289</v>
      </c>
      <c r="L3" s="34">
        <v>45695</v>
      </c>
      <c r="M3" s="34">
        <v>45698</v>
      </c>
      <c r="N3" s="23">
        <v>2.5875190258751901E-2</v>
      </c>
      <c r="O3" s="12">
        <v>0.02</v>
      </c>
      <c r="P3" s="12">
        <v>3.4986481578628791E-2</v>
      </c>
      <c r="Q3" s="75">
        <v>3</v>
      </c>
      <c r="R3" s="37"/>
    </row>
    <row r="4" spans="1:18" ht="14.4" x14ac:dyDescent="0.3">
      <c r="A4" s="1" t="s">
        <v>4</v>
      </c>
      <c r="B4" s="1" t="s">
        <v>5</v>
      </c>
      <c r="C4" s="2">
        <v>14107</v>
      </c>
      <c r="D4" s="2">
        <v>4542</v>
      </c>
      <c r="E4" s="38">
        <v>45708</v>
      </c>
      <c r="F4" s="3">
        <v>4009</v>
      </c>
      <c r="G4" s="4">
        <v>0.88265081461911055</v>
      </c>
      <c r="H4" s="5">
        <v>9565</v>
      </c>
      <c r="I4" s="3">
        <v>9443</v>
      </c>
      <c r="J4" s="4">
        <v>0.9872451646628333</v>
      </c>
      <c r="K4" s="5">
        <v>433</v>
      </c>
      <c r="L4" s="33">
        <v>45708</v>
      </c>
      <c r="M4" s="34">
        <v>45708</v>
      </c>
      <c r="N4" s="25">
        <v>3.0693981711207203E-2</v>
      </c>
      <c r="O4" s="6">
        <v>0.02</v>
      </c>
      <c r="P4" s="6">
        <v>3.3429335527669204E-2</v>
      </c>
      <c r="Q4" s="74">
        <v>0</v>
      </c>
    </row>
    <row r="5" spans="1:18" ht="14.4" x14ac:dyDescent="0.3">
      <c r="A5" s="7" t="s">
        <v>6</v>
      </c>
      <c r="B5" s="7" t="s">
        <v>7</v>
      </c>
      <c r="C5" s="8">
        <v>12965</v>
      </c>
      <c r="D5" s="8">
        <v>4704</v>
      </c>
      <c r="E5" s="34">
        <v>45720</v>
      </c>
      <c r="F5" s="9">
        <v>4290</v>
      </c>
      <c r="G5" s="26">
        <v>0.91198979591836737</v>
      </c>
      <c r="H5" s="11">
        <v>8261</v>
      </c>
      <c r="I5" s="9">
        <v>8178</v>
      </c>
      <c r="J5" s="26">
        <v>0.98995279021910176</v>
      </c>
      <c r="K5" s="29">
        <v>428</v>
      </c>
      <c r="L5" s="34">
        <v>45721</v>
      </c>
      <c r="M5" s="34">
        <v>45721</v>
      </c>
      <c r="N5" s="23">
        <v>3.301195526417277E-2</v>
      </c>
      <c r="O5" s="12">
        <v>0.02</v>
      </c>
      <c r="P5" s="12">
        <v>3.3324976375523112E-2</v>
      </c>
      <c r="Q5" s="75">
        <v>0</v>
      </c>
    </row>
    <row r="6" spans="1:18" ht="14.4" x14ac:dyDescent="0.3">
      <c r="A6" s="1" t="s">
        <v>8</v>
      </c>
      <c r="B6" s="1" t="s">
        <v>9</v>
      </c>
      <c r="C6" s="2">
        <v>9305</v>
      </c>
      <c r="D6" s="2">
        <v>2056</v>
      </c>
      <c r="E6" s="38">
        <v>45728</v>
      </c>
      <c r="F6" s="3">
        <v>1830</v>
      </c>
      <c r="G6" s="4">
        <v>0.8900778210116731</v>
      </c>
      <c r="H6" s="5">
        <v>7249</v>
      </c>
      <c r="I6" s="3">
        <v>7190</v>
      </c>
      <c r="J6" s="4">
        <v>0.99186094633742583</v>
      </c>
      <c r="K6" s="5">
        <v>267</v>
      </c>
      <c r="L6" s="33">
        <v>45728</v>
      </c>
      <c r="M6" s="33">
        <v>45728</v>
      </c>
      <c r="N6" s="25">
        <v>2.8694250403009134E-2</v>
      </c>
      <c r="O6" s="6">
        <v>0.02</v>
      </c>
      <c r="P6" s="6">
        <v>3.2620425782399688E-2</v>
      </c>
      <c r="Q6" s="74">
        <v>0</v>
      </c>
    </row>
    <row r="7" spans="1:18" ht="14.4" x14ac:dyDescent="0.3">
      <c r="A7" s="7" t="s">
        <v>10</v>
      </c>
      <c r="B7" s="7" t="s">
        <v>11</v>
      </c>
      <c r="C7" s="8">
        <v>9303</v>
      </c>
      <c r="D7" s="8">
        <v>1981</v>
      </c>
      <c r="E7" s="34">
        <v>45736</v>
      </c>
      <c r="F7" s="9">
        <v>1751</v>
      </c>
      <c r="G7" s="26">
        <v>0.88389702170620899</v>
      </c>
      <c r="H7" s="11">
        <v>7322</v>
      </c>
      <c r="I7" s="9">
        <v>7249</v>
      </c>
      <c r="J7" s="26">
        <v>0.99003004643540016</v>
      </c>
      <c r="K7" s="29">
        <v>288</v>
      </c>
      <c r="L7" s="34">
        <v>45736</v>
      </c>
      <c r="M7" s="34">
        <v>45736</v>
      </c>
      <c r="N7" s="23">
        <v>3.0957755562721703E-2</v>
      </c>
      <c r="O7" s="12">
        <v>0.02</v>
      </c>
      <c r="P7" s="12">
        <v>3.240090262698514E-2</v>
      </c>
      <c r="Q7" s="75">
        <v>0</v>
      </c>
    </row>
    <row r="8" spans="1:18" ht="14.4" x14ac:dyDescent="0.3">
      <c r="A8" s="1" t="s">
        <v>12</v>
      </c>
      <c r="B8" s="1" t="s">
        <v>13</v>
      </c>
      <c r="C8" s="2">
        <v>12043</v>
      </c>
      <c r="D8" s="2">
        <v>3466</v>
      </c>
      <c r="E8" s="38">
        <v>45749</v>
      </c>
      <c r="F8" s="3">
        <v>3124</v>
      </c>
      <c r="G8" s="4">
        <v>0.90132717830351994</v>
      </c>
      <c r="H8" s="5">
        <v>8577</v>
      </c>
      <c r="I8" s="3">
        <v>8536</v>
      </c>
      <c r="J8" s="4">
        <v>0.99521977381368776</v>
      </c>
      <c r="K8" s="5">
        <v>367</v>
      </c>
      <c r="L8" s="33">
        <v>45749</v>
      </c>
      <c r="M8" s="33">
        <v>45749</v>
      </c>
      <c r="N8" s="25">
        <v>3.0474134351905671E-2</v>
      </c>
      <c r="O8" s="6">
        <v>0.02</v>
      </c>
      <c r="P8" s="6">
        <v>3.2119654804615531E-2</v>
      </c>
      <c r="Q8" s="74">
        <v>0</v>
      </c>
    </row>
    <row r="9" spans="1:18" ht="28.2" x14ac:dyDescent="0.3">
      <c r="A9" s="7" t="s">
        <v>14</v>
      </c>
      <c r="B9" s="7" t="s">
        <v>15</v>
      </c>
      <c r="C9" s="8">
        <v>12883</v>
      </c>
      <c r="D9" s="8">
        <v>4090</v>
      </c>
      <c r="E9" s="34">
        <v>45758</v>
      </c>
      <c r="F9" s="9">
        <v>3667</v>
      </c>
      <c r="G9" s="26">
        <v>0.89657701711491444</v>
      </c>
      <c r="H9" s="11">
        <v>8793</v>
      </c>
      <c r="I9" s="9">
        <v>8763</v>
      </c>
      <c r="J9" s="26">
        <v>0.99658819515523711</v>
      </c>
      <c r="K9" s="29">
        <v>421</v>
      </c>
      <c r="L9" s="34">
        <v>45757</v>
      </c>
      <c r="M9" s="34">
        <v>45758</v>
      </c>
      <c r="N9" s="23">
        <v>3.2678723899712797E-2</v>
      </c>
      <c r="O9" s="12">
        <v>0.02</v>
      </c>
      <c r="P9" s="12">
        <v>3.2195162862863912E-2</v>
      </c>
      <c r="Q9" s="75">
        <v>1</v>
      </c>
      <c r="R9" s="37" t="s">
        <v>148</v>
      </c>
    </row>
    <row r="10" spans="1:18" ht="14.4" x14ac:dyDescent="0.3">
      <c r="A10" s="1" t="s">
        <v>16</v>
      </c>
      <c r="B10" s="1" t="s">
        <v>17</v>
      </c>
      <c r="C10" s="2">
        <v>12729</v>
      </c>
      <c r="D10" s="2">
        <v>4230</v>
      </c>
      <c r="E10" s="38">
        <v>45782</v>
      </c>
      <c r="F10" s="3">
        <v>3860</v>
      </c>
      <c r="G10" s="4">
        <v>0.91252955082742315</v>
      </c>
      <c r="H10" s="5">
        <v>8499</v>
      </c>
      <c r="I10" s="3">
        <v>8419</v>
      </c>
      <c r="J10" s="4">
        <v>0.99058712789739967</v>
      </c>
      <c r="K10" s="5">
        <v>432</v>
      </c>
      <c r="L10" s="33">
        <v>45764</v>
      </c>
      <c r="M10" s="33">
        <v>45764</v>
      </c>
      <c r="N10" s="25">
        <v>3.3938251237332073E-2</v>
      </c>
      <c r="O10" s="6">
        <v>0.02</v>
      </c>
      <c r="P10" s="6">
        <v>3.240038477191165E-2</v>
      </c>
      <c r="Q10" s="74">
        <v>0</v>
      </c>
    </row>
    <row r="11" spans="1:18" ht="14.4" x14ac:dyDescent="0.3">
      <c r="A11" s="7" t="s">
        <v>18</v>
      </c>
      <c r="B11" s="7" t="s">
        <v>19</v>
      </c>
      <c r="C11" s="8">
        <v>11285</v>
      </c>
      <c r="D11" s="8">
        <v>1765</v>
      </c>
      <c r="E11" s="34">
        <v>45777</v>
      </c>
      <c r="F11" s="9">
        <v>1529</v>
      </c>
      <c r="G11" s="26">
        <v>0.86628895184135979</v>
      </c>
      <c r="H11" s="11">
        <v>9520</v>
      </c>
      <c r="I11" s="9">
        <v>9320</v>
      </c>
      <c r="J11" s="26">
        <v>0.97899159663865543</v>
      </c>
      <c r="K11" s="29">
        <v>358</v>
      </c>
      <c r="L11" s="34">
        <v>45777</v>
      </c>
      <c r="M11" s="34">
        <v>45777</v>
      </c>
      <c r="N11" s="23">
        <v>3.1723526805494021E-2</v>
      </c>
      <c r="O11" s="12">
        <v>0.02</v>
      </c>
      <c r="P11" s="12">
        <v>3.2336412592859354E-2</v>
      </c>
      <c r="Q11" s="75">
        <v>0</v>
      </c>
    </row>
    <row r="12" spans="1:18" ht="14.4" x14ac:dyDescent="0.3">
      <c r="A12" s="1" t="s">
        <v>20</v>
      </c>
      <c r="B12" s="1" t="s">
        <v>21</v>
      </c>
      <c r="C12" s="2">
        <v>10050</v>
      </c>
      <c r="D12" s="2">
        <v>3202</v>
      </c>
      <c r="E12" s="38">
        <v>45786</v>
      </c>
      <c r="F12" s="3">
        <v>2859</v>
      </c>
      <c r="G12" s="4">
        <v>0.89287945034353533</v>
      </c>
      <c r="H12" s="5">
        <v>6848</v>
      </c>
      <c r="I12" s="3">
        <v>6745</v>
      </c>
      <c r="J12" s="4">
        <v>0.98495911214953269</v>
      </c>
      <c r="K12" s="5">
        <v>423</v>
      </c>
      <c r="L12" s="33">
        <v>45786</v>
      </c>
      <c r="M12" s="33">
        <v>45786</v>
      </c>
      <c r="N12" s="25">
        <v>4.208955223880597E-2</v>
      </c>
      <c r="O12" s="6">
        <v>0.02</v>
      </c>
      <c r="P12" s="6">
        <v>3.3093602984913213E-2</v>
      </c>
      <c r="Q12" s="74">
        <v>0</v>
      </c>
    </row>
    <row r="13" spans="1:18" ht="14.4" x14ac:dyDescent="0.3">
      <c r="A13" s="7" t="s">
        <v>22</v>
      </c>
      <c r="B13" s="7" t="s">
        <v>23</v>
      </c>
      <c r="C13" s="8">
        <v>12292</v>
      </c>
      <c r="D13" s="8">
        <v>2810</v>
      </c>
      <c r="E13" s="34">
        <v>45800</v>
      </c>
      <c r="F13" s="9">
        <v>2372</v>
      </c>
      <c r="G13" s="26">
        <v>0.84412811387900355</v>
      </c>
      <c r="H13" s="11">
        <v>9482</v>
      </c>
      <c r="I13" s="9">
        <v>9351</v>
      </c>
      <c r="J13" s="26">
        <v>0.98618434929339804</v>
      </c>
      <c r="K13" s="29">
        <v>489</v>
      </c>
      <c r="L13" s="34">
        <v>45800</v>
      </c>
      <c r="M13" s="34">
        <v>45800</v>
      </c>
      <c r="N13" s="23">
        <v>3.9781972014318254E-2</v>
      </c>
      <c r="O13" s="12">
        <v>0.02</v>
      </c>
      <c r="P13" s="12">
        <v>3.3673620566800476E-2</v>
      </c>
      <c r="Q13" s="75">
        <v>0</v>
      </c>
    </row>
    <row r="14" spans="1:18" ht="14.4" x14ac:dyDescent="0.3">
      <c r="A14" s="1" t="s">
        <v>26</v>
      </c>
      <c r="B14" s="1" t="s">
        <v>27</v>
      </c>
      <c r="C14" s="2">
        <v>21834</v>
      </c>
      <c r="D14" s="2">
        <v>10186</v>
      </c>
      <c r="E14" s="38">
        <v>45825</v>
      </c>
      <c r="F14" s="3">
        <v>9123</v>
      </c>
      <c r="G14" s="4">
        <v>0.89564107598664833</v>
      </c>
      <c r="H14" s="5">
        <v>11648</v>
      </c>
      <c r="I14" s="3">
        <v>11420</v>
      </c>
      <c r="J14" s="4">
        <v>0.98042582417582413</v>
      </c>
      <c r="K14" s="5">
        <v>1001</v>
      </c>
      <c r="L14" s="33">
        <v>45814</v>
      </c>
      <c r="M14" s="34">
        <v>45825</v>
      </c>
      <c r="N14" s="25">
        <v>4.584592836859943E-2</v>
      </c>
      <c r="O14" s="6">
        <v>0.02</v>
      </c>
      <c r="P14" s="6">
        <v>3.5298361016524331E-2</v>
      </c>
      <c r="Q14" s="74">
        <v>11</v>
      </c>
    </row>
    <row r="15" spans="1:18" ht="14.4" x14ac:dyDescent="0.3">
      <c r="A15" s="7" t="s">
        <v>24</v>
      </c>
      <c r="B15" s="7" t="s">
        <v>25</v>
      </c>
      <c r="C15" s="8">
        <v>144</v>
      </c>
      <c r="D15" s="8">
        <v>84</v>
      </c>
      <c r="E15" s="34">
        <v>45821</v>
      </c>
      <c r="F15" s="9">
        <v>59</v>
      </c>
      <c r="G15" s="26">
        <v>0.70238095238095233</v>
      </c>
      <c r="H15" s="11">
        <v>60</v>
      </c>
      <c r="I15" s="9">
        <v>60</v>
      </c>
      <c r="J15" s="26">
        <v>1</v>
      </c>
      <c r="K15" s="29">
        <v>29</v>
      </c>
      <c r="L15" s="34">
        <v>45811</v>
      </c>
      <c r="M15" s="34">
        <v>45821</v>
      </c>
      <c r="N15" s="23">
        <v>0.2013888888888889</v>
      </c>
      <c r="O15" s="12">
        <v>0.02</v>
      </c>
      <c r="P15" s="12">
        <v>3.5444445123105774E-2</v>
      </c>
      <c r="Q15" s="75">
        <v>10</v>
      </c>
    </row>
    <row r="16" spans="1:18" ht="15" thickBot="1" x14ac:dyDescent="0.35">
      <c r="A16" s="14" t="s">
        <v>28</v>
      </c>
      <c r="B16" s="14" t="s">
        <v>29</v>
      </c>
      <c r="C16" s="15">
        <v>29283</v>
      </c>
      <c r="D16" s="15">
        <v>14810</v>
      </c>
      <c r="E16" s="79">
        <v>45841</v>
      </c>
      <c r="F16" s="16">
        <v>13640</v>
      </c>
      <c r="G16" s="27">
        <v>0.92099932478055369</v>
      </c>
      <c r="H16" s="17">
        <v>14473</v>
      </c>
      <c r="I16" s="16">
        <v>14206</v>
      </c>
      <c r="J16" s="27">
        <v>0.98155185517860843</v>
      </c>
      <c r="K16" s="30">
        <v>1173</v>
      </c>
      <c r="L16" s="35">
        <v>45841</v>
      </c>
      <c r="M16" s="35">
        <v>45841</v>
      </c>
      <c r="N16" s="24">
        <v>4.005737117098658E-2</v>
      </c>
      <c r="O16" s="18">
        <v>0.02</v>
      </c>
      <c r="P16" s="18">
        <v>3.6144328614950982E-2</v>
      </c>
      <c r="Q16" s="76">
        <v>0</v>
      </c>
    </row>
    <row r="17" spans="1:17" x14ac:dyDescent="0.25">
      <c r="C17" s="28"/>
      <c r="K17" s="28"/>
      <c r="N17" s="36"/>
    </row>
    <row r="18" spans="1:17" x14ac:dyDescent="0.25">
      <c r="A18" s="1" t="s">
        <v>46</v>
      </c>
      <c r="B18" s="1" t="s">
        <v>47</v>
      </c>
      <c r="C18" s="5">
        <v>2860</v>
      </c>
      <c r="D18" s="5">
        <v>2815</v>
      </c>
      <c r="E18" s="33">
        <v>45884</v>
      </c>
      <c r="F18" s="13">
        <v>2611</v>
      </c>
      <c r="G18" s="4">
        <v>0.92753108348134994</v>
      </c>
      <c r="H18" s="5">
        <v>45</v>
      </c>
      <c r="I18" s="13">
        <v>40</v>
      </c>
      <c r="J18" s="4">
        <v>0.88888888888888884</v>
      </c>
      <c r="K18" s="5">
        <v>209</v>
      </c>
      <c r="L18" s="33"/>
      <c r="M18" s="33"/>
      <c r="N18" s="25">
        <v>7.3076923076923081E-2</v>
      </c>
      <c r="O18" s="6">
        <v>0.02</v>
      </c>
      <c r="P18" s="81">
        <v>3.6683617203774048E-2</v>
      </c>
      <c r="Q18" s="77">
        <f>Tabelle1[[#This Row],[Datum
finale
Schätzung]]-Tabelle1[[#This Row],[Datum geplante Schätzung]]</f>
        <v>0</v>
      </c>
    </row>
    <row r="19" spans="1:17" x14ac:dyDescent="0.25">
      <c r="A19" s="7" t="s">
        <v>48</v>
      </c>
      <c r="B19" s="7" t="s">
        <v>49</v>
      </c>
      <c r="C19" s="11">
        <v>17168</v>
      </c>
      <c r="D19" s="20">
        <v>9958</v>
      </c>
      <c r="E19" s="34">
        <v>45884</v>
      </c>
      <c r="F19" s="82">
        <v>7767</v>
      </c>
      <c r="G19" s="10">
        <v>0.7799758987748544</v>
      </c>
      <c r="H19" s="11">
        <v>7210</v>
      </c>
      <c r="I19" s="82">
        <v>6879</v>
      </c>
      <c r="J19" s="26">
        <v>0.95409153952843273</v>
      </c>
      <c r="K19" s="11">
        <v>2522</v>
      </c>
      <c r="L19" s="34"/>
      <c r="M19" s="34"/>
      <c r="N19" s="23">
        <v>0.14690121155638397</v>
      </c>
      <c r="O19" s="12">
        <v>0.02</v>
      </c>
      <c r="P19" s="80">
        <v>4.5565924368170037E-2</v>
      </c>
      <c r="Q19" s="53">
        <f>Tabelle1[[#This Row],[Datum
finale
Schätzung]]-Tabelle1[[#This Row],[Datum geplante Schätzung]]</f>
        <v>0</v>
      </c>
    </row>
    <row r="20" spans="1:17" x14ac:dyDescent="0.25">
      <c r="A20" s="1" t="s">
        <v>50</v>
      </c>
      <c r="B20" s="1" t="s">
        <v>51</v>
      </c>
      <c r="C20" s="5">
        <v>25278</v>
      </c>
      <c r="D20" s="19">
        <v>11385</v>
      </c>
      <c r="E20" s="33">
        <v>45884</v>
      </c>
      <c r="F20" s="13">
        <v>4546</v>
      </c>
      <c r="G20" s="4">
        <v>0.39929732103645149</v>
      </c>
      <c r="H20" s="5">
        <v>13893</v>
      </c>
      <c r="I20" s="13">
        <v>8114</v>
      </c>
      <c r="J20" s="4">
        <v>0.58403512560282156</v>
      </c>
      <c r="K20" s="5">
        <v>12618</v>
      </c>
      <c r="L20" s="33"/>
      <c r="M20" s="33"/>
      <c r="N20" s="25">
        <v>0.4991692380726323</v>
      </c>
      <c r="O20" s="6">
        <v>0.02</v>
      </c>
      <c r="P20" s="81">
        <v>9.3680500188829674E-2</v>
      </c>
      <c r="Q20" s="77">
        <f>Tabelle1[[#This Row],[Datum
finale
Schätzung]]-Tabelle1[[#This Row],[Datum geplante Schätzung]]</f>
        <v>0</v>
      </c>
    </row>
    <row r="21" spans="1:17" x14ac:dyDescent="0.25">
      <c r="A21" s="7" t="s">
        <v>52</v>
      </c>
      <c r="B21" s="7" t="s">
        <v>53</v>
      </c>
      <c r="C21" s="11"/>
      <c r="D21" s="20"/>
      <c r="E21" s="34"/>
      <c r="F21" s="82"/>
      <c r="G21" s="10"/>
      <c r="H21" s="11"/>
      <c r="I21" s="82"/>
      <c r="J21" s="26"/>
      <c r="K21" s="11"/>
      <c r="L21" s="34"/>
      <c r="M21" s="20"/>
      <c r="N21" s="23"/>
      <c r="O21" s="12">
        <v>0.02</v>
      </c>
      <c r="P21" s="80"/>
      <c r="Q21" s="53">
        <f>Tabelle1[[#This Row],[Datum
finale
Schätzung]]-Tabelle1[[#This Row],[Datum geplante Schätzung]]</f>
        <v>0</v>
      </c>
    </row>
    <row r="22" spans="1:17" x14ac:dyDescent="0.25">
      <c r="A22" s="1" t="s">
        <v>54</v>
      </c>
      <c r="B22" s="1" t="s">
        <v>55</v>
      </c>
      <c r="C22" s="5"/>
      <c r="D22" s="19"/>
      <c r="E22" s="33"/>
      <c r="F22" s="13"/>
      <c r="G22" s="4"/>
      <c r="H22" s="5"/>
      <c r="I22" s="13"/>
      <c r="J22" s="4"/>
      <c r="K22" s="5"/>
      <c r="L22" s="33"/>
      <c r="M22" s="19"/>
      <c r="N22" s="25"/>
      <c r="O22" s="6">
        <v>0.02</v>
      </c>
      <c r="P22" s="81"/>
      <c r="Q22" s="77">
        <f>Tabelle1[[#This Row],[Datum
finale
Schätzung]]-Tabelle1[[#This Row],[Datum geplante Schätzung]]</f>
        <v>0</v>
      </c>
    </row>
    <row r="23" spans="1:17" x14ac:dyDescent="0.25">
      <c r="A23" s="7" t="s">
        <v>56</v>
      </c>
      <c r="B23" s="7" t="s">
        <v>57</v>
      </c>
      <c r="C23" s="11"/>
      <c r="D23" s="20"/>
      <c r="E23" s="34"/>
      <c r="F23" s="82"/>
      <c r="G23" s="10"/>
      <c r="H23" s="11"/>
      <c r="I23" s="82"/>
      <c r="J23" s="26"/>
      <c r="K23" s="11"/>
      <c r="L23" s="34"/>
      <c r="M23" s="20"/>
      <c r="N23" s="32"/>
      <c r="O23" s="12">
        <v>0.02</v>
      </c>
      <c r="P23" s="80"/>
      <c r="Q23" s="53">
        <f>Tabelle1[[#This Row],[Datum
finale
Schätzung]]-Tabelle1[[#This Row],[Datum geplante Schätzung]]</f>
        <v>0</v>
      </c>
    </row>
    <row r="24" spans="1:17" x14ac:dyDescent="0.25">
      <c r="A24" s="1" t="s">
        <v>58</v>
      </c>
      <c r="B24" s="1" t="s">
        <v>59</v>
      </c>
      <c r="C24" s="5"/>
      <c r="D24" s="19"/>
      <c r="E24" s="33"/>
      <c r="F24" s="13"/>
      <c r="G24" s="4"/>
      <c r="H24" s="5"/>
      <c r="I24" s="13"/>
      <c r="J24" s="4"/>
      <c r="K24" s="5"/>
      <c r="L24" s="33"/>
      <c r="M24" s="19"/>
      <c r="N24" s="25"/>
      <c r="O24" s="6">
        <v>0.02</v>
      </c>
      <c r="P24" s="81"/>
      <c r="Q24" s="77">
        <f>Tabelle1[[#This Row],[Datum
finale
Schätzung]]-Tabelle1[[#This Row],[Datum geplante Schätzung]]</f>
        <v>0</v>
      </c>
    </row>
    <row r="25" spans="1:17" x14ac:dyDescent="0.25">
      <c r="A25" s="7" t="s">
        <v>60</v>
      </c>
      <c r="B25" s="7" t="s">
        <v>61</v>
      </c>
      <c r="C25" s="11"/>
      <c r="D25" s="20"/>
      <c r="E25" s="34"/>
      <c r="F25" s="82"/>
      <c r="G25" s="10"/>
      <c r="H25" s="11"/>
      <c r="I25" s="82"/>
      <c r="J25" s="26"/>
      <c r="K25" s="11"/>
      <c r="L25" s="34"/>
      <c r="M25" s="20"/>
      <c r="N25" s="23"/>
      <c r="O25" s="12">
        <v>0.02</v>
      </c>
      <c r="P25" s="80"/>
      <c r="Q25" s="53">
        <f>Tabelle1[[#This Row],[Datum
finale
Schätzung]]-Tabelle1[[#This Row],[Datum geplante Schätzung]]</f>
        <v>0</v>
      </c>
    </row>
    <row r="26" spans="1:17" x14ac:dyDescent="0.25">
      <c r="A26" s="1" t="s">
        <v>62</v>
      </c>
      <c r="B26" s="1" t="s">
        <v>63</v>
      </c>
      <c r="C26" s="5"/>
      <c r="D26" s="19"/>
      <c r="E26" s="33"/>
      <c r="F26" s="13"/>
      <c r="G26" s="4"/>
      <c r="H26" s="5"/>
      <c r="I26" s="13"/>
      <c r="J26" s="4"/>
      <c r="K26" s="5"/>
      <c r="L26" s="33"/>
      <c r="M26" s="19"/>
      <c r="N26" s="25"/>
      <c r="O26" s="6">
        <v>0.02</v>
      </c>
      <c r="P26" s="81"/>
      <c r="Q26" s="77">
        <f>Tabelle1[[#This Row],[Datum
finale
Schätzung]]-Tabelle1[[#This Row],[Datum geplante Schätzung]]</f>
        <v>0</v>
      </c>
    </row>
    <row r="27" spans="1:17" x14ac:dyDescent="0.25">
      <c r="A27" s="7" t="s">
        <v>64</v>
      </c>
      <c r="B27" s="7" t="s">
        <v>65</v>
      </c>
      <c r="C27" s="11"/>
      <c r="D27" s="20"/>
      <c r="E27" s="34"/>
      <c r="F27" s="82"/>
      <c r="G27" s="10"/>
      <c r="H27" s="11"/>
      <c r="I27" s="82"/>
      <c r="J27" s="26"/>
      <c r="K27" s="11"/>
      <c r="L27" s="34"/>
      <c r="M27" s="20"/>
      <c r="N27" s="23"/>
      <c r="O27" s="12">
        <v>0.02</v>
      </c>
      <c r="P27" s="80"/>
      <c r="Q27" s="53">
        <f>Tabelle1[[#This Row],[Datum
finale
Schätzung]]-Tabelle1[[#This Row],[Datum geplante Schätzung]]</f>
        <v>0</v>
      </c>
    </row>
    <row r="28" spans="1:17" x14ac:dyDescent="0.25">
      <c r="A28" s="1" t="s">
        <v>66</v>
      </c>
      <c r="B28" s="1" t="s">
        <v>67</v>
      </c>
      <c r="C28" s="5"/>
      <c r="D28" s="19"/>
      <c r="E28" s="33"/>
      <c r="F28" s="13"/>
      <c r="G28" s="4"/>
      <c r="H28" s="5"/>
      <c r="I28" s="13"/>
      <c r="J28" s="4"/>
      <c r="K28" s="5"/>
      <c r="L28" s="33"/>
      <c r="M28" s="19"/>
      <c r="N28" s="25"/>
      <c r="O28" s="6">
        <v>0.02</v>
      </c>
      <c r="P28" s="81"/>
      <c r="Q28" s="77">
        <f>Tabelle1[[#This Row],[Datum
finale
Schätzung]]-Tabelle1[[#This Row],[Datum geplante Schätzung]]</f>
        <v>0</v>
      </c>
    </row>
    <row r="29" spans="1:17" x14ac:dyDescent="0.25">
      <c r="A29" s="7" t="s">
        <v>70</v>
      </c>
      <c r="B29" s="7" t="s">
        <v>71</v>
      </c>
      <c r="C29" s="11"/>
      <c r="D29" s="20"/>
      <c r="E29" s="34"/>
      <c r="F29" s="82"/>
      <c r="G29" s="10"/>
      <c r="H29" s="11"/>
      <c r="I29" s="82"/>
      <c r="J29" s="26"/>
      <c r="K29" s="11"/>
      <c r="L29" s="34"/>
      <c r="M29" s="20"/>
      <c r="N29" s="23"/>
      <c r="O29" s="12">
        <v>0.02</v>
      </c>
      <c r="P29" s="80"/>
      <c r="Q29" s="53">
        <f>Tabelle1[[#This Row],[Datum
finale
Schätzung]]-Tabelle1[[#This Row],[Datum geplante Schätzung]]</f>
        <v>0</v>
      </c>
    </row>
    <row r="30" spans="1:17" x14ac:dyDescent="0.25">
      <c r="A30" s="1" t="s">
        <v>68</v>
      </c>
      <c r="B30" s="1" t="s">
        <v>69</v>
      </c>
      <c r="C30" s="5"/>
      <c r="D30" s="19"/>
      <c r="E30" s="33"/>
      <c r="F30" s="13"/>
      <c r="G30" s="4"/>
      <c r="H30" s="5"/>
      <c r="I30" s="13"/>
      <c r="J30" s="4"/>
      <c r="K30" s="5"/>
      <c r="L30" s="33"/>
      <c r="M30" s="19"/>
      <c r="N30" s="25"/>
      <c r="O30" s="6">
        <v>0.02</v>
      </c>
      <c r="P30" s="81"/>
      <c r="Q30" s="77">
        <f>Tabelle1[[#This Row],[Datum
finale
Schätzung]]-Tabelle1[[#This Row],[Datum geplante Schätzung]]</f>
        <v>0</v>
      </c>
    </row>
    <row r="31" spans="1:17" x14ac:dyDescent="0.25">
      <c r="A31" s="7" t="s">
        <v>72</v>
      </c>
      <c r="B31" s="7" t="s">
        <v>73</v>
      </c>
      <c r="C31" s="11"/>
      <c r="D31" s="20"/>
      <c r="E31" s="34"/>
      <c r="F31" s="82"/>
      <c r="G31" s="10"/>
      <c r="H31" s="11"/>
      <c r="I31" s="82"/>
      <c r="J31" s="26"/>
      <c r="K31" s="11"/>
      <c r="L31" s="20"/>
      <c r="M31" s="20"/>
      <c r="N31" s="23"/>
      <c r="O31" s="12">
        <v>0.02</v>
      </c>
      <c r="P31" s="80"/>
      <c r="Q31" s="53">
        <f>Tabelle1[[#This Row],[Datum
finale
Schätzung]]-Tabelle1[[#This Row],[Datum geplante Schätzung]]</f>
        <v>0</v>
      </c>
    </row>
    <row r="32" spans="1:17" x14ac:dyDescent="0.25">
      <c r="A32" s="1" t="s">
        <v>74</v>
      </c>
      <c r="B32" s="1" t="s">
        <v>75</v>
      </c>
      <c r="C32" s="5"/>
      <c r="D32" s="19"/>
      <c r="E32" s="33"/>
      <c r="F32" s="13"/>
      <c r="G32" s="4"/>
      <c r="H32" s="5"/>
      <c r="I32" s="13"/>
      <c r="J32" s="4"/>
      <c r="K32" s="5"/>
      <c r="L32" s="19"/>
      <c r="M32" s="19"/>
      <c r="N32" s="25"/>
      <c r="O32" s="6">
        <v>0.02</v>
      </c>
      <c r="P32" s="81"/>
      <c r="Q32" s="77">
        <f>Tabelle1[[#This Row],[Datum
finale
Schätzung]]-Tabelle1[[#This Row],[Datum geplante Schätzung]]</f>
        <v>0</v>
      </c>
    </row>
  </sheetData>
  <protectedRanges>
    <protectedRange sqref="R3:R16 R18:R32" name="Grund"/>
    <protectedRange sqref="P2:P16 P18:P32" name="Schätzquote Durchschnitt"/>
    <protectedRange sqref="C2:K16 C18:K32 M18:N32 M6:N16 M2:N3 N4:N5" name="Offen zur Bearbeitung"/>
    <protectedRange sqref="Q2:Q16 Q18:Q32" name="Delay"/>
  </protectedRanges>
  <conditionalFormatting sqref="M3">
    <cfRule type="timePeriod" dxfId="209" priority="9" timePeriod="today">
      <formula>FLOOR(M3,1)=TODAY()</formula>
    </cfRule>
  </conditionalFormatting>
  <conditionalFormatting sqref="N3">
    <cfRule type="timePeriod" dxfId="208" priority="8" timePeriod="today">
      <formula>FLOOR(N3,1)=TODAY()</formula>
    </cfRule>
  </conditionalFormatting>
  <conditionalFormatting sqref="N5">
    <cfRule type="timePeriod" dxfId="207" priority="7" timePeriod="today">
      <formula>FLOOR(N5,1)=TODAY()</formula>
    </cfRule>
  </conditionalFormatting>
  <conditionalFormatting sqref="N7">
    <cfRule type="timePeriod" dxfId="206" priority="6" timePeriod="today">
      <formula>FLOOR(N7,1)=TODAY()</formula>
    </cfRule>
  </conditionalFormatting>
  <conditionalFormatting sqref="N9">
    <cfRule type="timePeriod" dxfId="205" priority="5" timePeriod="today">
      <formula>FLOOR(N9,1)=TODAY()</formula>
    </cfRule>
  </conditionalFormatting>
  <conditionalFormatting sqref="N11">
    <cfRule type="timePeriod" dxfId="204" priority="4" timePeriod="today">
      <formula>FLOOR(N11,1)=TODAY()</formula>
    </cfRule>
  </conditionalFormatting>
  <conditionalFormatting sqref="N13">
    <cfRule type="timePeriod" dxfId="203" priority="3" timePeriod="today">
      <formula>FLOOR(N13,1)=TODAY()</formula>
    </cfRule>
  </conditionalFormatting>
  <conditionalFormatting sqref="N15">
    <cfRule type="timePeriod" dxfId="202" priority="2" timePeriod="today">
      <formula>FLOOR(N15,1)=TODAY()</formula>
    </cfRule>
  </conditionalFormatting>
  <conditionalFormatting sqref="N16">
    <cfRule type="timePeriod" dxfId="201" priority="1" timePeriod="today">
      <formula>FLOOR(N16,1)=TODAY()</formula>
    </cfRule>
  </conditionalFormatting>
  <pageMargins left="0.7" right="0.7" top="0.78740157499999996" bottom="0.78740157499999996" header="0.3" footer="0.3"/>
  <pageSetup paperSize="9" scale="24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E578B-1B5C-4089-83DB-52DE83D00A2F}">
  <sheetPr codeName="Tabelle21"/>
  <dimension ref="A1:D32"/>
  <sheetViews>
    <sheetView workbookViewId="0">
      <selection activeCell="F8" sqref="F8"/>
    </sheetView>
  </sheetViews>
  <sheetFormatPr baseColWidth="10" defaultRowHeight="13.8" x14ac:dyDescent="0.25"/>
  <cols>
    <col min="2" max="2" width="14" bestFit="1" customWidth="1"/>
    <col min="3" max="3" width="12.59765625" bestFit="1" customWidth="1"/>
    <col min="4" max="4" width="14.19921875" bestFit="1" customWidth="1"/>
  </cols>
  <sheetData>
    <row r="1" spans="1:4" ht="28.2" thickBot="1" x14ac:dyDescent="0.3">
      <c r="A1" s="54" t="s">
        <v>44</v>
      </c>
      <c r="B1" s="37" t="s">
        <v>79</v>
      </c>
      <c r="C1" s="37" t="s">
        <v>87</v>
      </c>
      <c r="D1" t="s">
        <v>88</v>
      </c>
    </row>
    <row r="2" spans="1:4" x14ac:dyDescent="0.25">
      <c r="A2" s="1" t="s">
        <v>0</v>
      </c>
      <c r="B2" s="55">
        <f>SUM(Gesamtübersicht!$C$2:C2)</f>
        <v>13612</v>
      </c>
      <c r="C2" s="56">
        <f>SUM(Gesamtübersicht!$K$2:K2)</f>
        <v>578</v>
      </c>
      <c r="D2" s="36">
        <f t="shared" ref="D2:D16" si="0">IFERROR(C2/B2, "")</f>
        <v>4.2462533059065527E-2</v>
      </c>
    </row>
    <row r="3" spans="1:4" x14ac:dyDescent="0.25">
      <c r="A3" s="7" t="s">
        <v>2</v>
      </c>
      <c r="B3" s="55">
        <f>SUM(Gesamtübersicht!$C$2:C3)</f>
        <v>24781</v>
      </c>
      <c r="C3" s="56">
        <f>SUM(Gesamtübersicht!$K$2:K3)</f>
        <v>867</v>
      </c>
      <c r="D3" s="36">
        <f t="shared" si="0"/>
        <v>3.4986481578628791E-2</v>
      </c>
    </row>
    <row r="4" spans="1:4" x14ac:dyDescent="0.25">
      <c r="A4" s="1" t="s">
        <v>4</v>
      </c>
      <c r="B4" s="55">
        <f>SUM(Gesamtübersicht!$C$2:C4)</f>
        <v>38888</v>
      </c>
      <c r="C4" s="56">
        <f>SUM(Gesamtübersicht!$K$2:K4)</f>
        <v>1300</v>
      </c>
      <c r="D4" s="36">
        <f t="shared" si="0"/>
        <v>3.3429335527669204E-2</v>
      </c>
    </row>
    <row r="5" spans="1:4" x14ac:dyDescent="0.25">
      <c r="A5" s="7" t="s">
        <v>6</v>
      </c>
      <c r="B5" s="55">
        <f>SUM(Gesamtübersicht!$C$2:C5)</f>
        <v>51853</v>
      </c>
      <c r="C5" s="56">
        <f>SUM(Gesamtübersicht!$K$2:K5)</f>
        <v>1728</v>
      </c>
      <c r="D5" s="36">
        <f t="shared" si="0"/>
        <v>3.3324976375523112E-2</v>
      </c>
    </row>
    <row r="6" spans="1:4" x14ac:dyDescent="0.25">
      <c r="A6" s="1" t="s">
        <v>8</v>
      </c>
      <c r="B6" s="55">
        <f>SUM(Gesamtübersicht!$C$2:C6)</f>
        <v>61158</v>
      </c>
      <c r="C6" s="56">
        <f>SUM(Gesamtübersicht!$K$2:K6)</f>
        <v>1995</v>
      </c>
      <c r="D6" s="36">
        <f t="shared" si="0"/>
        <v>3.2620425782399688E-2</v>
      </c>
    </row>
    <row r="7" spans="1:4" x14ac:dyDescent="0.25">
      <c r="A7" s="7" t="s">
        <v>10</v>
      </c>
      <c r="B7" s="55">
        <f>SUM(Gesamtübersicht!$C$2:C7)</f>
        <v>70461</v>
      </c>
      <c r="C7" s="56">
        <f>SUM(Gesamtübersicht!$K$2:K7)</f>
        <v>2283</v>
      </c>
      <c r="D7" s="36">
        <f t="shared" si="0"/>
        <v>3.240090262698514E-2</v>
      </c>
    </row>
    <row r="8" spans="1:4" x14ac:dyDescent="0.25">
      <c r="A8" s="1" t="s">
        <v>12</v>
      </c>
      <c r="B8" s="55">
        <f>SUM(Gesamtübersicht!$C$2:C8)</f>
        <v>82504</v>
      </c>
      <c r="C8" s="56">
        <f>SUM(Gesamtübersicht!$K$2:K8)</f>
        <v>2650</v>
      </c>
      <c r="D8" s="36">
        <f t="shared" si="0"/>
        <v>3.2119654804615531E-2</v>
      </c>
    </row>
    <row r="9" spans="1:4" x14ac:dyDescent="0.25">
      <c r="A9" s="7" t="s">
        <v>14</v>
      </c>
      <c r="B9" s="55">
        <f>SUM(Gesamtübersicht!$C$2:C9)</f>
        <v>95387</v>
      </c>
      <c r="C9" s="56">
        <f>SUM(Gesamtübersicht!$K$2:K9)</f>
        <v>3071</v>
      </c>
      <c r="D9" s="36">
        <f t="shared" si="0"/>
        <v>3.2195162862863912E-2</v>
      </c>
    </row>
    <row r="10" spans="1:4" x14ac:dyDescent="0.25">
      <c r="A10" s="1" t="s">
        <v>16</v>
      </c>
      <c r="B10" s="55">
        <f>SUM(Gesamtübersicht!$C$2:C10)</f>
        <v>108116</v>
      </c>
      <c r="C10" s="56">
        <f>SUM(Gesamtübersicht!$K$2:K10)</f>
        <v>3503</v>
      </c>
      <c r="D10" s="36">
        <f t="shared" si="0"/>
        <v>3.240038477191165E-2</v>
      </c>
    </row>
    <row r="11" spans="1:4" x14ac:dyDescent="0.25">
      <c r="A11" s="7" t="s">
        <v>18</v>
      </c>
      <c r="B11" s="55">
        <f>SUM(Gesamtübersicht!$C$2:C11)</f>
        <v>119401</v>
      </c>
      <c r="C11" s="56">
        <f>SUM(Gesamtübersicht!$K$2:K11)</f>
        <v>3861</v>
      </c>
      <c r="D11" s="36">
        <f t="shared" si="0"/>
        <v>3.2336412592859354E-2</v>
      </c>
    </row>
    <row r="12" spans="1:4" x14ac:dyDescent="0.25">
      <c r="A12" s="1" t="s">
        <v>20</v>
      </c>
      <c r="B12" s="55">
        <f>SUM(Gesamtübersicht!$C$2:C12)</f>
        <v>129451</v>
      </c>
      <c r="C12" s="56">
        <f>SUM(Gesamtübersicht!$K$2:K12)</f>
        <v>4284</v>
      </c>
      <c r="D12" s="36">
        <f t="shared" si="0"/>
        <v>3.3093602984913213E-2</v>
      </c>
    </row>
    <row r="13" spans="1:4" x14ac:dyDescent="0.25">
      <c r="A13" s="7" t="s">
        <v>22</v>
      </c>
      <c r="B13" s="55">
        <f>SUM(Gesamtübersicht!$C$2:C13)</f>
        <v>141743</v>
      </c>
      <c r="C13" s="56">
        <f>SUM(Gesamtübersicht!$K$2:K13)</f>
        <v>4773</v>
      </c>
      <c r="D13" s="36">
        <f t="shared" si="0"/>
        <v>3.3673620566800476E-2</v>
      </c>
    </row>
    <row r="14" spans="1:4" x14ac:dyDescent="0.25">
      <c r="A14" s="1" t="s">
        <v>26</v>
      </c>
      <c r="B14" s="55">
        <f>SUM(Gesamtübersicht!$C$2:C14)</f>
        <v>163577</v>
      </c>
      <c r="C14" s="56">
        <f>SUM(Gesamtübersicht!$K$2:K14)</f>
        <v>5774</v>
      </c>
      <c r="D14" s="36">
        <f t="shared" si="0"/>
        <v>3.5298361016524331E-2</v>
      </c>
    </row>
    <row r="15" spans="1:4" x14ac:dyDescent="0.25">
      <c r="A15" s="7" t="s">
        <v>24</v>
      </c>
      <c r="B15" s="55">
        <f>SUM(Gesamtübersicht!$C$2:C15)</f>
        <v>163721</v>
      </c>
      <c r="C15" s="56">
        <f>SUM(Gesamtübersicht!$K$2:K15)</f>
        <v>5803</v>
      </c>
      <c r="D15" s="36">
        <f t="shared" si="0"/>
        <v>3.5444445123105774E-2</v>
      </c>
    </row>
    <row r="16" spans="1:4" ht="14.4" thickBot="1" x14ac:dyDescent="0.3">
      <c r="A16" s="14" t="s">
        <v>28</v>
      </c>
      <c r="B16" s="55">
        <f>SUM(Gesamtübersicht!$C$2:C16)</f>
        <v>193004</v>
      </c>
      <c r="C16" s="56">
        <f>SUM(Gesamtübersicht!$K$2:K16)</f>
        <v>6976</v>
      </c>
      <c r="D16" s="36">
        <f t="shared" si="0"/>
        <v>3.6144328614950982E-2</v>
      </c>
    </row>
    <row r="17" spans="1:4" x14ac:dyDescent="0.25">
      <c r="A17" s="39"/>
      <c r="B17" s="55"/>
      <c r="C17" s="56"/>
      <c r="D17" s="36"/>
    </row>
    <row r="18" spans="1:4" x14ac:dyDescent="0.25">
      <c r="A18" s="1" t="s">
        <v>46</v>
      </c>
      <c r="B18" s="55">
        <f>SUM(Gesamtübersicht!$C$2:C18)</f>
        <v>195864</v>
      </c>
      <c r="C18" s="56">
        <f>SUM(Gesamtübersicht!$K$2:K18)</f>
        <v>7185</v>
      </c>
      <c r="D18" s="36">
        <f t="shared" ref="D18:D32" si="1">IFERROR(C18/B18, "")</f>
        <v>3.6683617203774048E-2</v>
      </c>
    </row>
    <row r="19" spans="1:4" x14ac:dyDescent="0.25">
      <c r="A19" s="7" t="s">
        <v>48</v>
      </c>
      <c r="B19" s="55">
        <f>SUM(Gesamtübersicht!$C$2:C19)</f>
        <v>213032</v>
      </c>
      <c r="C19" s="56">
        <f>SUM(Gesamtübersicht!$K$2:K19)</f>
        <v>9707</v>
      </c>
      <c r="D19" s="36">
        <f t="shared" si="1"/>
        <v>4.5565924368170037E-2</v>
      </c>
    </row>
    <row r="20" spans="1:4" x14ac:dyDescent="0.25">
      <c r="A20" s="1" t="s">
        <v>50</v>
      </c>
      <c r="B20" s="55">
        <f>SUM(Gesamtübersicht!$C$2:C20)</f>
        <v>238310</v>
      </c>
      <c r="C20" s="56">
        <f>SUM(Gesamtübersicht!$K$2:K20)</f>
        <v>22325</v>
      </c>
      <c r="D20" s="36">
        <f t="shared" si="1"/>
        <v>9.3680500188829674E-2</v>
      </c>
    </row>
    <row r="21" spans="1:4" x14ac:dyDescent="0.25">
      <c r="A21" s="7" t="s">
        <v>52</v>
      </c>
      <c r="B21" s="55">
        <f>SUM(Gesamtübersicht!$C$2:C21)</f>
        <v>238310</v>
      </c>
      <c r="C21" s="56">
        <f>SUM(Gesamtübersicht!$K$2:K21)</f>
        <v>22325</v>
      </c>
      <c r="D21" s="36">
        <f t="shared" si="1"/>
        <v>9.3680500188829674E-2</v>
      </c>
    </row>
    <row r="22" spans="1:4" x14ac:dyDescent="0.25">
      <c r="A22" s="1" t="s">
        <v>54</v>
      </c>
      <c r="B22" s="55">
        <f>SUM(Gesamtübersicht!$C$2:C22)</f>
        <v>238310</v>
      </c>
      <c r="C22" s="56">
        <f>SUM(Gesamtübersicht!$K$2:K22)</f>
        <v>22325</v>
      </c>
      <c r="D22" s="36">
        <f t="shared" si="1"/>
        <v>9.3680500188829674E-2</v>
      </c>
    </row>
    <row r="23" spans="1:4" x14ac:dyDescent="0.25">
      <c r="A23" s="7" t="s">
        <v>56</v>
      </c>
      <c r="B23" s="55">
        <f>SUM(Gesamtübersicht!$C$2:C23)</f>
        <v>238310</v>
      </c>
      <c r="C23" s="56">
        <f>SUM(Gesamtübersicht!$K$2:K23)</f>
        <v>22325</v>
      </c>
      <c r="D23" s="36">
        <f t="shared" si="1"/>
        <v>9.3680500188829674E-2</v>
      </c>
    </row>
    <row r="24" spans="1:4" x14ac:dyDescent="0.25">
      <c r="A24" s="1" t="s">
        <v>58</v>
      </c>
      <c r="B24" s="55">
        <f>SUM(Gesamtübersicht!$C$2:C24)</f>
        <v>238310</v>
      </c>
      <c r="C24" s="56">
        <f>SUM(Gesamtübersicht!$K$2:K24)</f>
        <v>22325</v>
      </c>
      <c r="D24" s="36">
        <f t="shared" si="1"/>
        <v>9.3680500188829674E-2</v>
      </c>
    </row>
    <row r="25" spans="1:4" x14ac:dyDescent="0.25">
      <c r="A25" s="7" t="s">
        <v>60</v>
      </c>
      <c r="B25" s="55">
        <f>SUM(Gesamtübersicht!$C$2:C25)</f>
        <v>238310</v>
      </c>
      <c r="C25" s="56">
        <f>SUM(Gesamtübersicht!$K$2:K25)</f>
        <v>22325</v>
      </c>
      <c r="D25" s="36">
        <f t="shared" si="1"/>
        <v>9.3680500188829674E-2</v>
      </c>
    </row>
    <row r="26" spans="1:4" x14ac:dyDescent="0.25">
      <c r="A26" s="1" t="s">
        <v>62</v>
      </c>
      <c r="B26" s="55">
        <f>SUM(Gesamtübersicht!$C$2:C26)</f>
        <v>238310</v>
      </c>
      <c r="C26" s="56">
        <f>SUM(Gesamtübersicht!$K$2:K26)</f>
        <v>22325</v>
      </c>
      <c r="D26" s="36">
        <f t="shared" si="1"/>
        <v>9.3680500188829674E-2</v>
      </c>
    </row>
    <row r="27" spans="1:4" x14ac:dyDescent="0.25">
      <c r="A27" s="7" t="s">
        <v>64</v>
      </c>
      <c r="B27" s="55">
        <f>SUM(Gesamtübersicht!$C$2:C27)</f>
        <v>238310</v>
      </c>
      <c r="C27" s="56">
        <f>SUM(Gesamtübersicht!$K$2:K27)</f>
        <v>22325</v>
      </c>
      <c r="D27" s="36">
        <f t="shared" si="1"/>
        <v>9.3680500188829674E-2</v>
      </c>
    </row>
    <row r="28" spans="1:4" x14ac:dyDescent="0.25">
      <c r="A28" s="1" t="s">
        <v>66</v>
      </c>
      <c r="B28" s="55">
        <f>SUM(Gesamtübersicht!$C$2:C28)</f>
        <v>238310</v>
      </c>
      <c r="C28" s="56">
        <f>SUM(Gesamtübersicht!$K$2:K28)</f>
        <v>22325</v>
      </c>
      <c r="D28" s="36">
        <f t="shared" si="1"/>
        <v>9.3680500188829674E-2</v>
      </c>
    </row>
    <row r="29" spans="1:4" x14ac:dyDescent="0.25">
      <c r="A29" s="7" t="s">
        <v>70</v>
      </c>
      <c r="B29" s="55">
        <f>SUM(Gesamtübersicht!$C$2:C29)</f>
        <v>238310</v>
      </c>
      <c r="C29" s="56">
        <f>SUM(Gesamtübersicht!$K$2:K29)</f>
        <v>22325</v>
      </c>
      <c r="D29" s="36">
        <f t="shared" si="1"/>
        <v>9.3680500188829674E-2</v>
      </c>
    </row>
    <row r="30" spans="1:4" x14ac:dyDescent="0.25">
      <c r="A30" s="1" t="s">
        <v>68</v>
      </c>
      <c r="B30" s="55">
        <f>SUM(Gesamtübersicht!$C$2:C30)</f>
        <v>238310</v>
      </c>
      <c r="C30" s="56">
        <f>SUM(Gesamtübersicht!$K$2:K30)</f>
        <v>22325</v>
      </c>
      <c r="D30" s="36">
        <f t="shared" si="1"/>
        <v>9.3680500188829674E-2</v>
      </c>
    </row>
    <row r="31" spans="1:4" x14ac:dyDescent="0.25">
      <c r="A31" s="7" t="s">
        <v>72</v>
      </c>
      <c r="B31" s="55">
        <f>SUM(Gesamtübersicht!$C$2:C31)</f>
        <v>238310</v>
      </c>
      <c r="C31" s="56">
        <f>SUM(Gesamtübersicht!$K$2:K31)</f>
        <v>22325</v>
      </c>
      <c r="D31" s="36">
        <f t="shared" si="1"/>
        <v>9.3680500188829674E-2</v>
      </c>
    </row>
    <row r="32" spans="1:4" ht="14.4" thickBot="1" x14ac:dyDescent="0.3">
      <c r="A32" s="14" t="s">
        <v>74</v>
      </c>
      <c r="B32" s="55">
        <f>SUM(Gesamtübersicht!$C$2:C32)</f>
        <v>238310</v>
      </c>
      <c r="C32" s="56">
        <f>SUM(Gesamtübersicht!$K$2:K32)</f>
        <v>22325</v>
      </c>
      <c r="D32" s="36">
        <f t="shared" si="1"/>
        <v>9.3680500188829674E-2</v>
      </c>
    </row>
  </sheetData>
  <sheetProtection algorithmName="SHA-512" hashValue="UX66u1+tQmjEuOqtVq9KYVd3mW8PQvvFBY+S1fHzc1pGAFUJtKzEJup9ScVq5+Kcu7tzbBQf+/rp1tlRSJ6gHQ==" saltValue="JvDH4Ak1peYD58KGb5NYCQ==" spinCount="100000" sheet="1" objects="1" scenarios="1" selectLockedCells="1" selectUnlockedCells="1"/>
  <pageMargins left="0.7" right="0.7" top="0.78740157499999996" bottom="0.78740157499999996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B81AB-DDD7-4A89-A0F0-66F806E80196}">
  <sheetPr codeName="Tabelle3"/>
  <dimension ref="A1:D32"/>
  <sheetViews>
    <sheetView workbookViewId="0">
      <selection activeCell="E38" sqref="E38"/>
    </sheetView>
  </sheetViews>
  <sheetFormatPr baseColWidth="10" defaultRowHeight="13.8" x14ac:dyDescent="0.25"/>
  <cols>
    <col min="1" max="1" width="12.09765625" bestFit="1" customWidth="1"/>
    <col min="2" max="2" width="15.69921875" bestFit="1" customWidth="1"/>
    <col min="3" max="3" width="12.296875" bestFit="1" customWidth="1"/>
    <col min="4" max="4" width="8.69921875" bestFit="1" customWidth="1"/>
    <col min="5" max="5" width="23.09765625" bestFit="1" customWidth="1"/>
  </cols>
  <sheetData>
    <row r="1" spans="1:4" ht="31.8" thickBot="1" x14ac:dyDescent="0.3">
      <c r="A1" s="47" t="s">
        <v>44</v>
      </c>
      <c r="B1" s="22" t="s">
        <v>30</v>
      </c>
      <c r="C1" s="22" t="s">
        <v>40</v>
      </c>
      <c r="D1" s="48" t="s">
        <v>41</v>
      </c>
    </row>
    <row r="2" spans="1:4" ht="14.4" x14ac:dyDescent="0.3">
      <c r="A2" s="42" t="s">
        <v>0</v>
      </c>
      <c r="B2" s="2">
        <f>IF(Gesamtübersicht!C2&lt;&gt;"", Gesamtübersicht!C2, "")</f>
        <v>13612</v>
      </c>
      <c r="C2" s="25">
        <f>IF(Gesamtübersicht!N2&lt;&gt;"", Gesamtübersicht!N2, "")</f>
        <v>4.2462533059065527E-2</v>
      </c>
      <c r="D2" s="45">
        <v>0.02</v>
      </c>
    </row>
    <row r="3" spans="1:4" ht="14.4" x14ac:dyDescent="0.3">
      <c r="A3" s="41" t="s">
        <v>2</v>
      </c>
      <c r="B3" s="8">
        <f>IF(Gesamtübersicht!C3&lt;&gt;"", Gesamtübersicht!C3, "")</f>
        <v>11169</v>
      </c>
      <c r="C3" s="23">
        <f>IF(Gesamtübersicht!N3&lt;&gt;"", Gesamtübersicht!N3, "")</f>
        <v>2.5875190258751901E-2</v>
      </c>
      <c r="D3" s="46">
        <v>0.02</v>
      </c>
    </row>
    <row r="4" spans="1:4" ht="14.4" x14ac:dyDescent="0.3">
      <c r="A4" s="42" t="s">
        <v>4</v>
      </c>
      <c r="B4" s="2">
        <f>IF(Gesamtübersicht!C4&lt;&gt;"", Gesamtübersicht!C4, "")</f>
        <v>14107</v>
      </c>
      <c r="C4" s="25">
        <f>IF(Gesamtübersicht!N4&lt;&gt;"", Gesamtübersicht!N4, "")</f>
        <v>3.0693981711207203E-2</v>
      </c>
      <c r="D4" s="45">
        <v>0.02</v>
      </c>
    </row>
    <row r="5" spans="1:4" ht="14.4" x14ac:dyDescent="0.3">
      <c r="A5" s="41" t="s">
        <v>6</v>
      </c>
      <c r="B5" s="8">
        <f>IF(Gesamtübersicht!C5&lt;&gt;"", Gesamtübersicht!C5, "")</f>
        <v>12965</v>
      </c>
      <c r="C5" s="23">
        <f>IF(Gesamtübersicht!N5&lt;&gt;"", Gesamtübersicht!N5, "")</f>
        <v>3.301195526417277E-2</v>
      </c>
      <c r="D5" s="46">
        <v>0.02</v>
      </c>
    </row>
    <row r="6" spans="1:4" ht="14.4" x14ac:dyDescent="0.3">
      <c r="A6" s="42" t="s">
        <v>8</v>
      </c>
      <c r="B6" s="2">
        <f>IF(Gesamtübersicht!C6&lt;&gt;"", Gesamtübersicht!C6, "")</f>
        <v>9305</v>
      </c>
      <c r="C6" s="25">
        <f>IF(Gesamtübersicht!N6&lt;&gt;"", Gesamtübersicht!N6, "")</f>
        <v>2.8694250403009134E-2</v>
      </c>
      <c r="D6" s="45">
        <v>0.02</v>
      </c>
    </row>
    <row r="7" spans="1:4" ht="14.4" x14ac:dyDescent="0.3">
      <c r="A7" s="41" t="s">
        <v>10</v>
      </c>
      <c r="B7" s="8">
        <f>IF(Gesamtübersicht!C7&lt;&gt;"", Gesamtübersicht!C7, "")</f>
        <v>9303</v>
      </c>
      <c r="C7" s="23">
        <f>IF(Gesamtübersicht!N7&lt;&gt;"", Gesamtübersicht!N7, "")</f>
        <v>3.0957755562721703E-2</v>
      </c>
      <c r="D7" s="46">
        <v>0.02</v>
      </c>
    </row>
    <row r="8" spans="1:4" ht="14.4" x14ac:dyDescent="0.3">
      <c r="A8" s="42" t="s">
        <v>12</v>
      </c>
      <c r="B8" s="2">
        <f>IF(Gesamtübersicht!C8&lt;&gt;"", Gesamtübersicht!C8, "")</f>
        <v>12043</v>
      </c>
      <c r="C8" s="25">
        <f>IF(Gesamtübersicht!N8&lt;&gt;"", Gesamtübersicht!N8, "")</f>
        <v>3.0474134351905671E-2</v>
      </c>
      <c r="D8" s="45">
        <v>0.02</v>
      </c>
    </row>
    <row r="9" spans="1:4" ht="14.4" x14ac:dyDescent="0.3">
      <c r="A9" s="41" t="s">
        <v>14</v>
      </c>
      <c r="B9" s="8">
        <f>IF(Gesamtübersicht!C9&lt;&gt;"", Gesamtübersicht!C9, "")</f>
        <v>12883</v>
      </c>
      <c r="C9" s="23">
        <f>IF(Gesamtübersicht!N9&lt;&gt;"", Gesamtübersicht!N9, "")</f>
        <v>3.2678723899712797E-2</v>
      </c>
      <c r="D9" s="46">
        <v>0.02</v>
      </c>
    </row>
    <row r="10" spans="1:4" ht="14.4" x14ac:dyDescent="0.3">
      <c r="A10" s="42" t="s">
        <v>16</v>
      </c>
      <c r="B10" s="2">
        <f>IF(Gesamtübersicht!C10&lt;&gt;"", Gesamtübersicht!C10, "")</f>
        <v>12729</v>
      </c>
      <c r="C10" s="25">
        <f>IF(Gesamtübersicht!N10&lt;&gt;"", Gesamtübersicht!N10, "")</f>
        <v>3.3938251237332073E-2</v>
      </c>
      <c r="D10" s="45">
        <v>0.02</v>
      </c>
    </row>
    <row r="11" spans="1:4" ht="14.4" x14ac:dyDescent="0.3">
      <c r="A11" s="41" t="s">
        <v>18</v>
      </c>
      <c r="B11" s="8">
        <f>IF(Gesamtübersicht!C11&lt;&gt;"", Gesamtübersicht!C11, "")</f>
        <v>11285</v>
      </c>
      <c r="C11" s="23">
        <f>IF(Gesamtübersicht!N11&lt;&gt;"", Gesamtübersicht!N11, "")</f>
        <v>3.1723526805494021E-2</v>
      </c>
      <c r="D11" s="46">
        <v>0.02</v>
      </c>
    </row>
    <row r="12" spans="1:4" ht="14.4" x14ac:dyDescent="0.3">
      <c r="A12" s="42" t="s">
        <v>20</v>
      </c>
      <c r="B12" s="2">
        <f>IF(Gesamtübersicht!C12&lt;&gt;"", Gesamtübersicht!C12, "")</f>
        <v>10050</v>
      </c>
      <c r="C12" s="25">
        <f>IF(Gesamtübersicht!N12&lt;&gt;"", Gesamtübersicht!N12, "")</f>
        <v>4.208955223880597E-2</v>
      </c>
      <c r="D12" s="45">
        <v>0.02</v>
      </c>
    </row>
    <row r="13" spans="1:4" ht="14.4" x14ac:dyDescent="0.3">
      <c r="A13" s="41" t="s">
        <v>22</v>
      </c>
      <c r="B13" s="8">
        <f>IF(Gesamtübersicht!C13&lt;&gt;"", Gesamtübersicht!C13, "")</f>
        <v>12292</v>
      </c>
      <c r="C13" s="23">
        <f>IF(Gesamtübersicht!N13&lt;&gt;"", Gesamtübersicht!N13, "")</f>
        <v>3.9781972014318254E-2</v>
      </c>
      <c r="D13" s="46">
        <v>0.02</v>
      </c>
    </row>
    <row r="14" spans="1:4" ht="14.4" x14ac:dyDescent="0.3">
      <c r="A14" s="42" t="s">
        <v>26</v>
      </c>
      <c r="B14" s="2">
        <f>IF(Gesamtübersicht!C14&lt;&gt;"", Gesamtübersicht!C14, "")</f>
        <v>21834</v>
      </c>
      <c r="C14" s="25">
        <f>IF(Gesamtübersicht!N14&lt;&gt;"", Gesamtübersicht!N14, "")</f>
        <v>4.584592836859943E-2</v>
      </c>
      <c r="D14" s="45">
        <v>0.02</v>
      </c>
    </row>
    <row r="15" spans="1:4" ht="14.4" x14ac:dyDescent="0.3">
      <c r="A15" s="41" t="s">
        <v>24</v>
      </c>
      <c r="B15" s="8">
        <f>IF(Gesamtübersicht!C15&lt;&gt;"", Gesamtübersicht!C15, "")</f>
        <v>144</v>
      </c>
      <c r="C15" s="23">
        <f>IF(Gesamtübersicht!N15&lt;&gt;"", Gesamtübersicht!N15, "")</f>
        <v>0.2013888888888889</v>
      </c>
      <c r="D15" s="46">
        <v>0.02</v>
      </c>
    </row>
    <row r="16" spans="1:4" ht="14.4" x14ac:dyDescent="0.3">
      <c r="A16" s="49" t="s">
        <v>28</v>
      </c>
      <c r="B16" s="50">
        <f>IF(Gesamtübersicht!C16&lt;&gt;"", Gesamtübersicht!C16, "")</f>
        <v>29283</v>
      </c>
      <c r="C16" s="43">
        <f>IF(Gesamtübersicht!N16&lt;&gt;"", Gesamtübersicht!N16, "")</f>
        <v>4.005737117098658E-2</v>
      </c>
      <c r="D16" s="51">
        <v>0.02</v>
      </c>
    </row>
    <row r="17" spans="1:4" x14ac:dyDescent="0.25">
      <c r="A17" s="39"/>
      <c r="B17" s="44"/>
      <c r="C17" s="40"/>
      <c r="D17" s="40"/>
    </row>
    <row r="18" spans="1:4" x14ac:dyDescent="0.25">
      <c r="A18" s="1" t="s">
        <v>46</v>
      </c>
      <c r="B18" s="5">
        <f>IF(Gesamtübersicht!C18&lt;&gt;"", Gesamtübersicht!C18, "")</f>
        <v>2860</v>
      </c>
      <c r="C18" s="25">
        <f>IF(Gesamtübersicht!N18&lt;&gt;"", Gesamtübersicht!N18, "")</f>
        <v>7.3076923076923081E-2</v>
      </c>
      <c r="D18" s="6">
        <v>0.02</v>
      </c>
    </row>
    <row r="19" spans="1:4" ht="14.4" x14ac:dyDescent="0.3">
      <c r="A19" s="7" t="s">
        <v>48</v>
      </c>
      <c r="B19" s="8">
        <f>IF(Gesamtübersicht!C19&lt;&gt;"", Gesamtübersicht!C19, "")</f>
        <v>17168</v>
      </c>
      <c r="C19" s="23">
        <f>IF(Gesamtübersicht!N19&lt;&gt;"", Gesamtübersicht!N19, "")</f>
        <v>0.14690121155638397</v>
      </c>
      <c r="D19" s="12">
        <v>0.02</v>
      </c>
    </row>
    <row r="20" spans="1:4" x14ac:dyDescent="0.25">
      <c r="A20" s="1" t="s">
        <v>50</v>
      </c>
      <c r="B20" s="5">
        <f>IF(Gesamtübersicht!C20&lt;&gt;"", Gesamtübersicht!C20, "")</f>
        <v>25278</v>
      </c>
      <c r="C20" s="25">
        <f>IF(Gesamtübersicht!N20&lt;&gt;"", Gesamtübersicht!N20, "")</f>
        <v>0.4991692380726323</v>
      </c>
      <c r="D20" s="6">
        <v>0.02</v>
      </c>
    </row>
    <row r="21" spans="1:4" ht="14.4" x14ac:dyDescent="0.3">
      <c r="A21" s="7" t="s">
        <v>52</v>
      </c>
      <c r="B21" s="8" t="str">
        <f>IF(Gesamtübersicht!C21&lt;&gt;"", Gesamtübersicht!C21, "")</f>
        <v/>
      </c>
      <c r="C21" s="23" t="str">
        <f>IF(Gesamtübersicht!N21&lt;&gt;"", Gesamtübersicht!N21, "")</f>
        <v/>
      </c>
      <c r="D21" s="12">
        <v>0.02</v>
      </c>
    </row>
    <row r="22" spans="1:4" x14ac:dyDescent="0.25">
      <c r="A22" s="1" t="s">
        <v>54</v>
      </c>
      <c r="B22" s="5" t="str">
        <f>IF(Gesamtübersicht!C22&lt;&gt;"", Gesamtübersicht!C22, "")</f>
        <v/>
      </c>
      <c r="C22" s="25" t="str">
        <f>IF(Gesamtübersicht!N22&lt;&gt;"", Gesamtübersicht!N22, "")</f>
        <v/>
      </c>
      <c r="D22" s="6">
        <v>0.02</v>
      </c>
    </row>
    <row r="23" spans="1:4" ht="14.4" x14ac:dyDescent="0.3">
      <c r="A23" s="7" t="s">
        <v>56</v>
      </c>
      <c r="B23" s="8" t="str">
        <f>IF(Gesamtübersicht!C23&lt;&gt;"", Gesamtübersicht!C23, "")</f>
        <v/>
      </c>
      <c r="C23" s="23" t="str">
        <f>IF(Gesamtübersicht!N23&lt;&gt;"", Gesamtübersicht!N23, "")</f>
        <v/>
      </c>
      <c r="D23" s="12">
        <v>0.02</v>
      </c>
    </row>
    <row r="24" spans="1:4" x14ac:dyDescent="0.25">
      <c r="A24" s="1" t="s">
        <v>58</v>
      </c>
      <c r="B24" s="5" t="str">
        <f>IF(Gesamtübersicht!C24&lt;&gt;"", Gesamtübersicht!C24, "")</f>
        <v/>
      </c>
      <c r="C24" s="25" t="str">
        <f>IF(Gesamtübersicht!N24&lt;&gt;"", Gesamtübersicht!N24, "")</f>
        <v/>
      </c>
      <c r="D24" s="6">
        <v>0.02</v>
      </c>
    </row>
    <row r="25" spans="1:4" ht="14.4" x14ac:dyDescent="0.3">
      <c r="A25" s="7" t="s">
        <v>60</v>
      </c>
      <c r="B25" s="8" t="str">
        <f>IF(Gesamtübersicht!C25&lt;&gt;"", Gesamtübersicht!C25, "")</f>
        <v/>
      </c>
      <c r="C25" s="23" t="str">
        <f>IF(Gesamtübersicht!N25&lt;&gt;"", Gesamtübersicht!N25, "")</f>
        <v/>
      </c>
      <c r="D25" s="12">
        <v>0.02</v>
      </c>
    </row>
    <row r="26" spans="1:4" x14ac:dyDescent="0.25">
      <c r="A26" s="1" t="s">
        <v>62</v>
      </c>
      <c r="B26" s="5" t="str">
        <f>IF(Gesamtübersicht!C26&lt;&gt;"", Gesamtübersicht!C26, "")</f>
        <v/>
      </c>
      <c r="C26" s="25" t="str">
        <f>IF(Gesamtübersicht!N26&lt;&gt;"", Gesamtübersicht!N26, "")</f>
        <v/>
      </c>
      <c r="D26" s="6">
        <v>0.02</v>
      </c>
    </row>
    <row r="27" spans="1:4" ht="14.4" x14ac:dyDescent="0.3">
      <c r="A27" s="7" t="s">
        <v>64</v>
      </c>
      <c r="B27" s="8" t="str">
        <f>IF(Gesamtübersicht!C27&lt;&gt;"", Gesamtübersicht!C27, "")</f>
        <v/>
      </c>
      <c r="C27" s="23" t="str">
        <f>IF(Gesamtübersicht!N27&lt;&gt;"", Gesamtübersicht!N27, "")</f>
        <v/>
      </c>
      <c r="D27" s="12">
        <v>0.02</v>
      </c>
    </row>
    <row r="28" spans="1:4" x14ac:dyDescent="0.25">
      <c r="A28" s="1" t="s">
        <v>66</v>
      </c>
      <c r="B28" s="5" t="str">
        <f>IF(Gesamtübersicht!C28&lt;&gt;"", Gesamtübersicht!C28, "")</f>
        <v/>
      </c>
      <c r="C28" s="25" t="str">
        <f>IF(Gesamtübersicht!N28&lt;&gt;"", Gesamtübersicht!N28, "")</f>
        <v/>
      </c>
      <c r="D28" s="6">
        <v>0.02</v>
      </c>
    </row>
    <row r="29" spans="1:4" ht="14.4" x14ac:dyDescent="0.3">
      <c r="A29" s="7" t="s">
        <v>70</v>
      </c>
      <c r="B29" s="8" t="str">
        <f>IF(Gesamtübersicht!C29&lt;&gt;"", Gesamtübersicht!C29, "")</f>
        <v/>
      </c>
      <c r="C29" s="23" t="str">
        <f>IF(Gesamtübersicht!N29&lt;&gt;"", Gesamtübersicht!N29, "")</f>
        <v/>
      </c>
      <c r="D29" s="12">
        <v>0.02</v>
      </c>
    </row>
    <row r="30" spans="1:4" x14ac:dyDescent="0.25">
      <c r="A30" s="1" t="s">
        <v>68</v>
      </c>
      <c r="B30" s="5" t="str">
        <f>IF(Gesamtübersicht!C30&lt;&gt;"", Gesamtübersicht!C30, "")</f>
        <v/>
      </c>
      <c r="C30" s="25" t="str">
        <f>IF(Gesamtübersicht!N30&lt;&gt;"", Gesamtübersicht!N30, "")</f>
        <v/>
      </c>
      <c r="D30" s="6">
        <v>0.02</v>
      </c>
    </row>
    <row r="31" spans="1:4" ht="14.4" x14ac:dyDescent="0.3">
      <c r="A31" s="7" t="s">
        <v>72</v>
      </c>
      <c r="B31" s="8" t="str">
        <f>IF(Gesamtübersicht!C31&lt;&gt;"", Gesamtübersicht!C31, "")</f>
        <v/>
      </c>
      <c r="C31" s="23" t="str">
        <f>IF(Gesamtübersicht!N31&lt;&gt;"", Gesamtübersicht!N31, "")</f>
        <v/>
      </c>
      <c r="D31" s="12">
        <v>0.02</v>
      </c>
    </row>
    <row r="32" spans="1:4" ht="15" thickBot="1" x14ac:dyDescent="0.35">
      <c r="A32" s="14" t="s">
        <v>74</v>
      </c>
      <c r="B32" s="15" t="str">
        <f>IF(Gesamtübersicht!C32&lt;&gt;"", Gesamtübersicht!C32, "")</f>
        <v/>
      </c>
      <c r="C32" s="24" t="str">
        <f>IF(Gesamtübersicht!N32&lt;&gt;"", Gesamtübersicht!N32, "")</f>
        <v/>
      </c>
      <c r="D32" s="18">
        <v>0.02</v>
      </c>
    </row>
  </sheetData>
  <protectedRanges>
    <protectedRange sqref="C2:C16 C18:C32" name="Schätzquote"/>
  </protectedRanges>
  <conditionalFormatting sqref="C3">
    <cfRule type="timePeriod" dxfId="176" priority="16" timePeriod="today">
      <formula>FLOOR(C3,1)=TODAY()</formula>
    </cfRule>
  </conditionalFormatting>
  <conditionalFormatting sqref="C5">
    <cfRule type="timePeriod" dxfId="175" priority="15" timePeriod="today">
      <formula>FLOOR(C5,1)=TODAY()</formula>
    </cfRule>
  </conditionalFormatting>
  <conditionalFormatting sqref="C7">
    <cfRule type="timePeriod" dxfId="174" priority="14" timePeriod="today">
      <formula>FLOOR(C7,1)=TODAY()</formula>
    </cfRule>
  </conditionalFormatting>
  <conditionalFormatting sqref="C9">
    <cfRule type="timePeriod" dxfId="173" priority="13" timePeriod="today">
      <formula>FLOOR(C9,1)=TODAY()</formula>
    </cfRule>
  </conditionalFormatting>
  <conditionalFormatting sqref="C11">
    <cfRule type="timePeriod" dxfId="172" priority="12" timePeriod="today">
      <formula>FLOOR(C11,1)=TODAY()</formula>
    </cfRule>
  </conditionalFormatting>
  <conditionalFormatting sqref="C13">
    <cfRule type="timePeriod" dxfId="171" priority="11" timePeriod="today">
      <formula>FLOOR(C13,1)=TODAY()</formula>
    </cfRule>
  </conditionalFormatting>
  <conditionalFormatting sqref="C15">
    <cfRule type="timePeriod" dxfId="170" priority="10" timePeriod="today">
      <formula>FLOOR(C15,1)=TODAY()</formula>
    </cfRule>
  </conditionalFormatting>
  <conditionalFormatting sqref="C16">
    <cfRule type="timePeriod" dxfId="169" priority="9" timePeriod="today">
      <formula>FLOOR(C16,1)=TODAY()</formula>
    </cfRule>
  </conditionalFormatting>
  <conditionalFormatting sqref="C19">
    <cfRule type="timePeriod" dxfId="168" priority="8" timePeriod="today">
      <formula>FLOOR(C19,1)=TODAY()</formula>
    </cfRule>
  </conditionalFormatting>
  <conditionalFormatting sqref="C21">
    <cfRule type="timePeriod" dxfId="167" priority="7" timePeriod="today">
      <formula>FLOOR(C21,1)=TODAY()</formula>
    </cfRule>
  </conditionalFormatting>
  <conditionalFormatting sqref="C23">
    <cfRule type="timePeriod" dxfId="166" priority="6" timePeriod="today">
      <formula>FLOOR(C23,1)=TODAY()</formula>
    </cfRule>
  </conditionalFormatting>
  <conditionalFormatting sqref="C25">
    <cfRule type="timePeriod" dxfId="165" priority="5" timePeriod="today">
      <formula>FLOOR(C25,1)=TODAY()</formula>
    </cfRule>
  </conditionalFormatting>
  <conditionalFormatting sqref="C27">
    <cfRule type="timePeriod" dxfId="164" priority="4" timePeriod="today">
      <formula>FLOOR(C27,1)=TODAY()</formula>
    </cfRule>
  </conditionalFormatting>
  <conditionalFormatting sqref="C29">
    <cfRule type="timePeriod" dxfId="163" priority="3" timePeriod="today">
      <formula>FLOOR(C29,1)=TODAY()</formula>
    </cfRule>
  </conditionalFormatting>
  <conditionalFormatting sqref="C31">
    <cfRule type="timePeriod" dxfId="162" priority="2" timePeriod="today">
      <formula>FLOOR(C31,1)=TODAY()</formula>
    </cfRule>
  </conditionalFormatting>
  <conditionalFormatting sqref="C32">
    <cfRule type="timePeriod" dxfId="161" priority="1" timePeriod="today">
      <formula>FLOOR(C32,1)=TODAY()</formula>
    </cfRule>
  </conditionalFormatting>
  <pageMargins left="0.7" right="0.7" top="0.78740157499999996" bottom="0.78740157499999996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8B5D2-579D-4243-B61A-AEB9ED99789B}">
  <sheetPr codeName="Tabelle4"/>
  <dimension ref="A1:D32"/>
  <sheetViews>
    <sheetView workbookViewId="0">
      <selection activeCell="B18" sqref="B18"/>
    </sheetView>
  </sheetViews>
  <sheetFormatPr baseColWidth="10" defaultRowHeight="13.8" x14ac:dyDescent="0.25"/>
  <cols>
    <col min="1" max="1" width="15.5" bestFit="1" customWidth="1"/>
    <col min="2" max="2" width="15.69921875" bestFit="1" customWidth="1"/>
    <col min="3" max="3" width="11.69921875" bestFit="1" customWidth="1"/>
    <col min="4" max="4" width="21.69921875" bestFit="1" customWidth="1"/>
    <col min="5" max="5" width="23.09765625" bestFit="1" customWidth="1"/>
  </cols>
  <sheetData>
    <row r="1" spans="1:4" ht="31.8" thickBot="1" x14ac:dyDescent="0.3">
      <c r="A1" s="47" t="s">
        <v>44</v>
      </c>
      <c r="B1" s="22" t="s">
        <v>30</v>
      </c>
      <c r="C1" s="22" t="s">
        <v>40</v>
      </c>
      <c r="D1" s="48" t="s">
        <v>41</v>
      </c>
    </row>
    <row r="2" spans="1:4" ht="14.4" x14ac:dyDescent="0.3">
      <c r="A2" s="42" t="s">
        <v>0</v>
      </c>
      <c r="B2" s="2">
        <f>IF(Gesamtübersicht!C2&lt;&gt;"", Gesamtübersicht!C2, "")</f>
        <v>13612</v>
      </c>
      <c r="C2" s="25">
        <v>4.2462533059065527E-2</v>
      </c>
      <c r="D2" s="45">
        <v>0.02</v>
      </c>
    </row>
    <row r="3" spans="1:4" x14ac:dyDescent="0.25">
      <c r="A3" s="41" t="s">
        <v>2</v>
      </c>
      <c r="B3" s="11">
        <f>IF(Gesamtübersicht!C3&lt;&gt;"", Gesamtübersicht!C3, "")</f>
        <v>11169</v>
      </c>
      <c r="C3" s="23">
        <v>2.5875190258751901E-2</v>
      </c>
      <c r="D3" s="46">
        <v>0.02</v>
      </c>
    </row>
    <row r="4" spans="1:4" ht="14.4" x14ac:dyDescent="0.3">
      <c r="A4" s="42" t="s">
        <v>4</v>
      </c>
      <c r="B4" s="2">
        <f>IF(Gesamtübersicht!C4&lt;&gt;"", Gesamtübersicht!C4, "")</f>
        <v>14107</v>
      </c>
      <c r="C4" s="25">
        <v>3.0693981711207203E-2</v>
      </c>
      <c r="D4" s="45">
        <v>0.02</v>
      </c>
    </row>
    <row r="5" spans="1:4" x14ac:dyDescent="0.25">
      <c r="A5" s="41" t="s">
        <v>6</v>
      </c>
      <c r="B5" s="11">
        <f>IF(Gesamtübersicht!C5&lt;&gt;"", Gesamtübersicht!C5, "")</f>
        <v>12965</v>
      </c>
      <c r="C5" s="23">
        <v>3.301195526417277E-2</v>
      </c>
      <c r="D5" s="46">
        <v>0.02</v>
      </c>
    </row>
    <row r="6" spans="1:4" ht="14.4" x14ac:dyDescent="0.3">
      <c r="A6" s="42" t="s">
        <v>8</v>
      </c>
      <c r="B6" s="2">
        <f>IF(Gesamtübersicht!C6&lt;&gt;"", Gesamtübersicht!C6, "")</f>
        <v>9305</v>
      </c>
      <c r="C6" s="25">
        <v>2.8694250403009134E-2</v>
      </c>
      <c r="D6" s="45">
        <v>0.02</v>
      </c>
    </row>
    <row r="7" spans="1:4" x14ac:dyDescent="0.25">
      <c r="A7" s="41" t="s">
        <v>10</v>
      </c>
      <c r="B7" s="11">
        <f>IF(Gesamtübersicht!C7&lt;&gt;"", Gesamtübersicht!C7, "")</f>
        <v>9303</v>
      </c>
      <c r="C7" s="23">
        <v>3.0957755562721703E-2</v>
      </c>
      <c r="D7" s="46">
        <v>0.02</v>
      </c>
    </row>
    <row r="8" spans="1:4" ht="14.4" x14ac:dyDescent="0.3">
      <c r="A8" s="42" t="s">
        <v>12</v>
      </c>
      <c r="B8" s="2">
        <f>IF(Gesamtübersicht!C8&lt;&gt;"", Gesamtübersicht!C8, "")</f>
        <v>12043</v>
      </c>
      <c r="C8" s="25">
        <v>3.0474134351905671E-2</v>
      </c>
      <c r="D8" s="45">
        <v>0.02</v>
      </c>
    </row>
    <row r="9" spans="1:4" x14ac:dyDescent="0.25">
      <c r="A9" s="41" t="s">
        <v>14</v>
      </c>
      <c r="B9" s="11">
        <f>IF(Gesamtübersicht!C9&lt;&gt;"", Gesamtübersicht!C9, "")</f>
        <v>12883</v>
      </c>
      <c r="C9" s="23">
        <v>3.2678723899712797E-2</v>
      </c>
      <c r="D9" s="46">
        <v>0.02</v>
      </c>
    </row>
    <row r="10" spans="1:4" ht="14.4" x14ac:dyDescent="0.3">
      <c r="A10" s="42" t="s">
        <v>16</v>
      </c>
      <c r="B10" s="2">
        <f>IF(Gesamtübersicht!C10&lt;&gt;"", Gesamtübersicht!C10, "")</f>
        <v>12729</v>
      </c>
      <c r="C10" s="25">
        <v>3.3938251237332073E-2</v>
      </c>
      <c r="D10" s="45">
        <v>0.02</v>
      </c>
    </row>
    <row r="11" spans="1:4" x14ac:dyDescent="0.25">
      <c r="A11" s="41" t="s">
        <v>18</v>
      </c>
      <c r="B11" s="11">
        <f>IF(Gesamtübersicht!C11&lt;&gt;"", Gesamtübersicht!C11, "")</f>
        <v>11285</v>
      </c>
      <c r="C11" s="23">
        <v>3.1723526805494021E-2</v>
      </c>
      <c r="D11" s="46">
        <v>0.02</v>
      </c>
    </row>
    <row r="12" spans="1:4" ht="14.4" x14ac:dyDescent="0.3">
      <c r="A12" s="42" t="s">
        <v>20</v>
      </c>
      <c r="B12" s="2">
        <f>IF(Gesamtübersicht!C12&lt;&gt;"", Gesamtübersicht!C12, "")</f>
        <v>10050</v>
      </c>
      <c r="C12" s="25">
        <v>4.208955223880597E-2</v>
      </c>
      <c r="D12" s="45">
        <v>0.02</v>
      </c>
    </row>
    <row r="13" spans="1:4" x14ac:dyDescent="0.25">
      <c r="A13" s="41" t="s">
        <v>22</v>
      </c>
      <c r="B13" s="11">
        <f>IF(Gesamtübersicht!C13&lt;&gt;"", Gesamtübersicht!C13, "")</f>
        <v>12292</v>
      </c>
      <c r="C13" s="23">
        <v>3.9781972014318254E-2</v>
      </c>
      <c r="D13" s="46">
        <v>0.02</v>
      </c>
    </row>
    <row r="14" spans="1:4" ht="14.4" x14ac:dyDescent="0.3">
      <c r="A14" s="42" t="s">
        <v>26</v>
      </c>
      <c r="B14" s="2">
        <f>IF(Gesamtübersicht!C14&lt;&gt;"", Gesamtübersicht!C14, "")</f>
        <v>21834</v>
      </c>
      <c r="C14" s="25">
        <v>4.584592836859943E-2</v>
      </c>
      <c r="D14" s="45">
        <v>0.02</v>
      </c>
    </row>
    <row r="15" spans="1:4" x14ac:dyDescent="0.25">
      <c r="A15" s="41" t="s">
        <v>24</v>
      </c>
      <c r="B15" s="11">
        <f>IF(Gesamtübersicht!C15&lt;&gt;"", Gesamtübersicht!C15, "")</f>
        <v>144</v>
      </c>
      <c r="C15" s="23">
        <v>0.2013888888888889</v>
      </c>
      <c r="D15" s="46">
        <v>0.02</v>
      </c>
    </row>
    <row r="16" spans="1:4" ht="14.4" x14ac:dyDescent="0.3">
      <c r="A16" s="49" t="s">
        <v>28</v>
      </c>
      <c r="B16" s="2">
        <f>IF(Gesamtübersicht!C16&lt;&gt;"", Gesamtübersicht!C16, "")</f>
        <v>29283</v>
      </c>
      <c r="C16" s="43">
        <v>4.005737117098658E-2</v>
      </c>
      <c r="D16" s="51">
        <v>0.02</v>
      </c>
    </row>
    <row r="17" spans="1:4" x14ac:dyDescent="0.25">
      <c r="A17" s="39"/>
      <c r="B17" s="44"/>
      <c r="C17" s="69"/>
      <c r="D17" s="40"/>
    </row>
    <row r="18" spans="1:4" x14ac:dyDescent="0.25">
      <c r="A18" s="1" t="s">
        <v>46</v>
      </c>
      <c r="B18" s="5">
        <f>IF(Gesamtübersicht!C18&lt;&gt;"", Gesamtübersicht!C18, "")</f>
        <v>2860</v>
      </c>
      <c r="C18" s="25">
        <v>0</v>
      </c>
      <c r="D18" s="6">
        <v>0.02</v>
      </c>
    </row>
    <row r="19" spans="1:4" x14ac:dyDescent="0.25">
      <c r="A19" s="7" t="s">
        <v>48</v>
      </c>
      <c r="B19" s="11">
        <f>IF(Gesamtübersicht!C19&lt;&gt;"", Gesamtübersicht!C19, "")</f>
        <v>17168</v>
      </c>
      <c r="C19" s="23"/>
      <c r="D19" s="12">
        <v>0.02</v>
      </c>
    </row>
    <row r="20" spans="1:4" x14ac:dyDescent="0.25">
      <c r="A20" s="1" t="s">
        <v>50</v>
      </c>
      <c r="B20" s="5">
        <f>IF(Gesamtübersicht!C20&lt;&gt;"", Gesamtübersicht!C20, "")</f>
        <v>25278</v>
      </c>
      <c r="C20" s="25"/>
      <c r="D20" s="6">
        <v>0.02</v>
      </c>
    </row>
    <row r="21" spans="1:4" x14ac:dyDescent="0.25">
      <c r="A21" s="7" t="s">
        <v>52</v>
      </c>
      <c r="B21" s="11" t="str">
        <f>IF(Gesamtübersicht!C21&lt;&gt;"", Gesamtübersicht!C21, "")</f>
        <v/>
      </c>
      <c r="C21" s="23"/>
      <c r="D21" s="12">
        <v>0.02</v>
      </c>
    </row>
    <row r="22" spans="1:4" x14ac:dyDescent="0.25">
      <c r="A22" s="1" t="s">
        <v>54</v>
      </c>
      <c r="B22" s="5" t="str">
        <f>IF(Gesamtübersicht!C22&lt;&gt;"", Gesamtübersicht!C22, "")</f>
        <v/>
      </c>
      <c r="C22" s="25"/>
      <c r="D22" s="6">
        <v>0.02</v>
      </c>
    </row>
    <row r="23" spans="1:4" x14ac:dyDescent="0.25">
      <c r="A23" s="7" t="s">
        <v>56</v>
      </c>
      <c r="B23" s="11" t="str">
        <f>IF(Gesamtübersicht!C23&lt;&gt;"", Gesamtübersicht!C23, "")</f>
        <v/>
      </c>
      <c r="C23" s="23"/>
      <c r="D23" s="12">
        <v>0.02</v>
      </c>
    </row>
    <row r="24" spans="1:4" x14ac:dyDescent="0.25">
      <c r="A24" s="1" t="s">
        <v>58</v>
      </c>
      <c r="B24" s="5" t="str">
        <f>IF(Gesamtübersicht!C24&lt;&gt;"", Gesamtübersicht!C24, "")</f>
        <v/>
      </c>
      <c r="C24" s="25"/>
      <c r="D24" s="6">
        <v>0.02</v>
      </c>
    </row>
    <row r="25" spans="1:4" x14ac:dyDescent="0.25">
      <c r="A25" s="7" t="s">
        <v>60</v>
      </c>
      <c r="B25" s="11" t="str">
        <f>IF(Gesamtübersicht!C25&lt;&gt;"", Gesamtübersicht!C25, "")</f>
        <v/>
      </c>
      <c r="C25" s="23"/>
      <c r="D25" s="12">
        <v>0.02</v>
      </c>
    </row>
    <row r="26" spans="1:4" x14ac:dyDescent="0.25">
      <c r="A26" s="1" t="s">
        <v>62</v>
      </c>
      <c r="B26" s="5" t="str">
        <f>IF(Gesamtübersicht!C26&lt;&gt;"", Gesamtübersicht!C26, "")</f>
        <v/>
      </c>
      <c r="C26" s="25"/>
      <c r="D26" s="6">
        <v>0.02</v>
      </c>
    </row>
    <row r="27" spans="1:4" x14ac:dyDescent="0.25">
      <c r="A27" s="7" t="s">
        <v>64</v>
      </c>
      <c r="B27" s="11" t="str">
        <f>IF(Gesamtübersicht!C27&lt;&gt;"", Gesamtübersicht!C27, "")</f>
        <v/>
      </c>
      <c r="C27" s="23"/>
      <c r="D27" s="12">
        <v>0.02</v>
      </c>
    </row>
    <row r="28" spans="1:4" x14ac:dyDescent="0.25">
      <c r="A28" s="1" t="s">
        <v>66</v>
      </c>
      <c r="B28" s="5" t="str">
        <f>IF(Gesamtübersicht!C28&lt;&gt;"", Gesamtübersicht!C28, "")</f>
        <v/>
      </c>
      <c r="C28" s="25"/>
      <c r="D28" s="6">
        <v>0.02</v>
      </c>
    </row>
    <row r="29" spans="1:4" x14ac:dyDescent="0.25">
      <c r="A29" s="7" t="s">
        <v>70</v>
      </c>
      <c r="B29" s="11" t="str">
        <f>IF(Gesamtübersicht!C29&lt;&gt;"", Gesamtübersicht!C29, "")</f>
        <v/>
      </c>
      <c r="C29" s="23"/>
      <c r="D29" s="12">
        <v>0.02</v>
      </c>
    </row>
    <row r="30" spans="1:4" x14ac:dyDescent="0.25">
      <c r="A30" s="1" t="s">
        <v>68</v>
      </c>
      <c r="B30" s="5" t="str">
        <f>IF(Gesamtübersicht!C30&lt;&gt;"", Gesamtübersicht!C30, "")</f>
        <v/>
      </c>
      <c r="C30" s="25"/>
      <c r="D30" s="6">
        <v>0.02</v>
      </c>
    </row>
    <row r="31" spans="1:4" x14ac:dyDescent="0.25">
      <c r="A31" s="7" t="s">
        <v>72</v>
      </c>
      <c r="B31" s="11" t="str">
        <f>IF(Gesamtübersicht!C31&lt;&gt;"", Gesamtübersicht!C31, "")</f>
        <v/>
      </c>
      <c r="C31" s="23"/>
      <c r="D31" s="12">
        <v>0.02</v>
      </c>
    </row>
    <row r="32" spans="1:4" ht="14.4" thickBot="1" x14ac:dyDescent="0.3">
      <c r="A32" s="14" t="s">
        <v>74</v>
      </c>
      <c r="B32" s="78" t="str">
        <f>IF(Gesamtübersicht!C32&lt;&gt;"", Gesamtübersicht!C32, "")</f>
        <v/>
      </c>
      <c r="C32" s="24"/>
      <c r="D32" s="18">
        <v>0.02</v>
      </c>
    </row>
  </sheetData>
  <sheetProtection algorithmName="SHA-512" hashValue="sdgnUI8GXIhLSvybKHecGrDuheGczLIS0GPRWPhXvpG4UD7WprMltDH8b5dlHHLkC15pwqlgaAVrZzA6gBNgpg==" saltValue="aLElk9IFXfNoRF628g0RxA==" spinCount="100000" sheet="1"/>
  <protectedRanges>
    <protectedRange sqref="C2:C16 C18:C32" name="Schätzquote"/>
  </protectedRanges>
  <conditionalFormatting sqref="C3">
    <cfRule type="timePeriod" dxfId="153" priority="8" timePeriod="today">
      <formula>FLOOR(C3,1)=TODAY()</formula>
    </cfRule>
  </conditionalFormatting>
  <conditionalFormatting sqref="C5">
    <cfRule type="timePeriod" dxfId="152" priority="7" timePeriod="today">
      <formula>FLOOR(C5,1)=TODAY()</formula>
    </cfRule>
  </conditionalFormatting>
  <conditionalFormatting sqref="C7">
    <cfRule type="timePeriod" dxfId="151" priority="6" timePeriod="today">
      <formula>FLOOR(C7,1)=TODAY()</formula>
    </cfRule>
  </conditionalFormatting>
  <conditionalFormatting sqref="C9">
    <cfRule type="timePeriod" dxfId="150" priority="5" timePeriod="today">
      <formula>FLOOR(C9,1)=TODAY()</formula>
    </cfRule>
  </conditionalFormatting>
  <conditionalFormatting sqref="C11">
    <cfRule type="timePeriod" dxfId="149" priority="4" timePeriod="today">
      <formula>FLOOR(C11,1)=TODAY()</formula>
    </cfRule>
  </conditionalFormatting>
  <conditionalFormatting sqref="C13">
    <cfRule type="timePeriod" dxfId="148" priority="3" timePeriod="today">
      <formula>FLOOR(C13,1)=TODAY()</formula>
    </cfRule>
  </conditionalFormatting>
  <conditionalFormatting sqref="C15">
    <cfRule type="timePeriod" dxfId="147" priority="2" timePeriod="today">
      <formula>FLOOR(C15,1)=TODAY()</formula>
    </cfRule>
  </conditionalFormatting>
  <conditionalFormatting sqref="C16">
    <cfRule type="timePeriod" dxfId="146" priority="1" timePeriod="today">
      <formula>FLOOR(C16,1)=TODAY()</formula>
    </cfRule>
  </conditionalFormatting>
  <pageMargins left="0.7" right="0.7" top="0.78740157499999996" bottom="0.78740157499999996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F5A4F-6507-4F7F-B837-092FC1E41FF5}">
  <sheetPr codeName="Tabelle5"/>
  <dimension ref="A1:E31"/>
  <sheetViews>
    <sheetView workbookViewId="0">
      <selection activeCell="E5" sqref="E5"/>
    </sheetView>
  </sheetViews>
  <sheetFormatPr baseColWidth="10" defaultRowHeight="13.8" x14ac:dyDescent="0.25"/>
  <cols>
    <col min="2" max="2" width="12.796875" bestFit="1" customWidth="1"/>
    <col min="3" max="3" width="12.796875" customWidth="1"/>
    <col min="5" max="5" width="13.796875" customWidth="1"/>
  </cols>
  <sheetData>
    <row r="1" spans="1:5" ht="27.6" x14ac:dyDescent="0.25">
      <c r="A1" s="59" t="s">
        <v>44</v>
      </c>
      <c r="B1" s="64" t="s">
        <v>79</v>
      </c>
      <c r="C1" s="64" t="s">
        <v>81</v>
      </c>
      <c r="D1" s="60" t="s">
        <v>80</v>
      </c>
      <c r="E1" s="61" t="s">
        <v>78</v>
      </c>
    </row>
    <row r="2" spans="1:5" x14ac:dyDescent="0.25">
      <c r="A2" s="62" t="str">
        <f>Gesamtübersicht!A2</f>
        <v>p01a</v>
      </c>
      <c r="B2" s="65">
        <f>IF(Gesamtübersicht!C2&lt;&gt;"", Gesamtübersicht!C2, "")</f>
        <v>13612</v>
      </c>
      <c r="C2" s="65">
        <f>IF(Gesamtübersicht!C2&lt;&gt;"", Gesamtübersicht!F2+Gesamtübersicht!I2, "")</f>
        <v>12923</v>
      </c>
      <c r="D2" s="65">
        <f>IF(Gesamtübersicht!C2&lt;&gt;"", Gesamtübersicht!C2-Gesamtübersicht!F2-Gesamtübersicht!I2, "")</f>
        <v>689</v>
      </c>
      <c r="E2" s="66">
        <v>4.2462533059065527E-2</v>
      </c>
    </row>
    <row r="3" spans="1:5" x14ac:dyDescent="0.25">
      <c r="A3" s="63" t="str">
        <f>Gesamtübersicht!A3</f>
        <v>p01b</v>
      </c>
      <c r="B3" s="67">
        <f>IF(Gesamtübersicht!C3&lt;&gt;"", Gesamtübersicht!C3, "")</f>
        <v>11169</v>
      </c>
      <c r="C3" s="67">
        <f>IF(Gesamtübersicht!C3&lt;&gt;"", Gesamtübersicht!F3+Gesamtübersicht!I3, "")</f>
        <v>10843</v>
      </c>
      <c r="D3" s="67">
        <f>IF(Gesamtübersicht!C3&lt;&gt;"", Gesamtübersicht!C3-Gesamtübersicht!F3-Gesamtübersicht!I3, "")</f>
        <v>326</v>
      </c>
      <c r="E3" s="68">
        <v>2.5875190258751901E-2</v>
      </c>
    </row>
    <row r="4" spans="1:5" x14ac:dyDescent="0.25">
      <c r="A4" s="62" t="str">
        <f>Gesamtübersicht!A4</f>
        <v>p01c</v>
      </c>
      <c r="B4" s="65">
        <f>IF(Gesamtübersicht!C4&lt;&gt;"", Gesamtübersicht!C4, "")</f>
        <v>14107</v>
      </c>
      <c r="C4" s="65">
        <f>IF(Gesamtübersicht!C4&lt;&gt;"", Gesamtübersicht!F4+Gesamtübersicht!I4, "")</f>
        <v>13452</v>
      </c>
      <c r="D4" s="65">
        <f>IF(Gesamtübersicht!C4&lt;&gt;"", Gesamtübersicht!C4-Gesamtübersicht!F4-Gesamtübersicht!I4, "")</f>
        <v>655</v>
      </c>
      <c r="E4" s="66">
        <v>3.0693981711207203E-2</v>
      </c>
    </row>
    <row r="5" spans="1:5" x14ac:dyDescent="0.25">
      <c r="A5" s="63" t="str">
        <f>Gesamtübersicht!A5</f>
        <v>p02a</v>
      </c>
      <c r="B5" s="67">
        <f>IF(Gesamtübersicht!C5&lt;&gt;"", Gesamtübersicht!C5, "")</f>
        <v>12965</v>
      </c>
      <c r="C5" s="67">
        <f>IF(Gesamtübersicht!C5&lt;&gt;"", Gesamtübersicht!F5+Gesamtübersicht!I5, "")</f>
        <v>12468</v>
      </c>
      <c r="D5" s="67">
        <f>IF(Gesamtübersicht!C5&lt;&gt;"", Gesamtübersicht!C5-Gesamtübersicht!F5-Gesamtübersicht!I5, "")</f>
        <v>497</v>
      </c>
      <c r="E5" s="68">
        <v>3.301195526417277E-2</v>
      </c>
    </row>
    <row r="6" spans="1:5" x14ac:dyDescent="0.25">
      <c r="A6" s="62" t="str">
        <f>Gesamtübersicht!A6</f>
        <v>p02b</v>
      </c>
      <c r="B6" s="65">
        <f>IF(Gesamtübersicht!C6&lt;&gt;"", Gesamtübersicht!C6, "")</f>
        <v>9305</v>
      </c>
      <c r="C6" s="65">
        <f>IF(Gesamtübersicht!C6&lt;&gt;"", Gesamtübersicht!F6+Gesamtübersicht!I6, "")</f>
        <v>9020</v>
      </c>
      <c r="D6" s="65">
        <f>IF(Gesamtübersicht!C6&lt;&gt;"", Gesamtübersicht!C6-Gesamtübersicht!F6-Gesamtübersicht!I6, "")</f>
        <v>285</v>
      </c>
      <c r="E6" s="66">
        <f>IF(Gesamtübersicht!N6&lt;&gt;"", Gesamtübersicht!N6, "")</f>
        <v>2.8694250403009134E-2</v>
      </c>
    </row>
    <row r="7" spans="1:5" x14ac:dyDescent="0.25">
      <c r="A7" s="63" t="str">
        <f>Gesamtübersicht!A7</f>
        <v>p02c</v>
      </c>
      <c r="B7" s="67">
        <f>IF(Gesamtübersicht!C7&lt;&gt;"", Gesamtübersicht!C7, "")</f>
        <v>9303</v>
      </c>
      <c r="C7" s="67">
        <f>IF(Gesamtübersicht!C7&lt;&gt;"", Gesamtübersicht!F7+Gesamtübersicht!I7, "")</f>
        <v>9000</v>
      </c>
      <c r="D7" s="67">
        <f>IF(Gesamtübersicht!C7&lt;&gt;"", Gesamtübersicht!C7-Gesamtübersicht!F7-Gesamtübersicht!I7, "")</f>
        <v>303</v>
      </c>
      <c r="E7" s="68">
        <f>IF(Gesamtübersicht!N7&lt;&gt;"", Gesamtübersicht!N7, "")</f>
        <v>3.0957755562721703E-2</v>
      </c>
    </row>
    <row r="8" spans="1:5" x14ac:dyDescent="0.25">
      <c r="A8" s="62" t="str">
        <f>Gesamtübersicht!A8</f>
        <v>p03a</v>
      </c>
      <c r="B8" s="65">
        <f>IF(Gesamtübersicht!C8&lt;&gt;"", Gesamtübersicht!C8, "")</f>
        <v>12043</v>
      </c>
      <c r="C8" s="65">
        <f>IF(Gesamtübersicht!C8&lt;&gt;"", Gesamtübersicht!F8+Gesamtübersicht!I8, "")</f>
        <v>11660</v>
      </c>
      <c r="D8" s="65">
        <f>IF(Gesamtübersicht!C8&lt;&gt;"", Gesamtübersicht!C8-Gesamtübersicht!F8-Gesamtübersicht!I8, "")</f>
        <v>383</v>
      </c>
      <c r="E8" s="66">
        <f>IF(Gesamtübersicht!N8&lt;&gt;"", Gesamtübersicht!N8, "")</f>
        <v>3.0474134351905671E-2</v>
      </c>
    </row>
    <row r="9" spans="1:5" x14ac:dyDescent="0.25">
      <c r="A9" s="63" t="str">
        <f>Gesamtübersicht!A9</f>
        <v>p03b</v>
      </c>
      <c r="B9" s="67">
        <f>IF(Gesamtübersicht!C9&lt;&gt;"", Gesamtübersicht!C9, "")</f>
        <v>12883</v>
      </c>
      <c r="C9" s="67">
        <f>IF(Gesamtübersicht!C9&lt;&gt;"", Gesamtübersicht!F9+Gesamtübersicht!I9, "")</f>
        <v>12430</v>
      </c>
      <c r="D9" s="67">
        <f>IF(Gesamtübersicht!C9&lt;&gt;"", Gesamtübersicht!C9-Gesamtübersicht!F9-Gesamtübersicht!I9, "")</f>
        <v>453</v>
      </c>
      <c r="E9" s="68">
        <f>IF(Gesamtübersicht!N9&lt;&gt;"", Gesamtübersicht!N9, "")</f>
        <v>3.2678723899712797E-2</v>
      </c>
    </row>
    <row r="10" spans="1:5" x14ac:dyDescent="0.25">
      <c r="A10" s="62" t="str">
        <f>Gesamtübersicht!A10</f>
        <v>p03c</v>
      </c>
      <c r="B10" s="65">
        <f>IF(Gesamtübersicht!C10&lt;&gt;"", Gesamtübersicht!C10, "")</f>
        <v>12729</v>
      </c>
      <c r="C10" s="65">
        <f>IF(Gesamtübersicht!C10&lt;&gt;"", Gesamtübersicht!F10+Gesamtübersicht!I10, "")</f>
        <v>12279</v>
      </c>
      <c r="D10" s="65">
        <f>IF(Gesamtübersicht!C10&lt;&gt;"", Gesamtübersicht!C10-Gesamtübersicht!F10-Gesamtübersicht!I10, "")</f>
        <v>450</v>
      </c>
      <c r="E10" s="66">
        <f>IF(Gesamtübersicht!N10&lt;&gt;"", Gesamtübersicht!N10, "")</f>
        <v>3.3938251237332073E-2</v>
      </c>
    </row>
    <row r="11" spans="1:5" x14ac:dyDescent="0.25">
      <c r="A11" s="63" t="str">
        <f>Gesamtübersicht!A11</f>
        <v>p04a</v>
      </c>
      <c r="B11" s="67">
        <f>IF(Gesamtübersicht!C11&lt;&gt;"", Gesamtübersicht!C11, "")</f>
        <v>11285</v>
      </c>
      <c r="C11" s="67">
        <f>IF(Gesamtübersicht!C11&lt;&gt;"", Gesamtübersicht!F11+Gesamtübersicht!I11, "")</f>
        <v>10849</v>
      </c>
      <c r="D11" s="67">
        <f>IF(Gesamtübersicht!C11&lt;&gt;"", Gesamtübersicht!C11-Gesamtübersicht!F11-Gesamtübersicht!I11, "")</f>
        <v>436</v>
      </c>
      <c r="E11" s="68">
        <f>IF(Gesamtübersicht!N11&lt;&gt;"", Gesamtübersicht!N11, "")</f>
        <v>3.1723526805494021E-2</v>
      </c>
    </row>
    <row r="12" spans="1:5" x14ac:dyDescent="0.25">
      <c r="A12" s="62" t="str">
        <f>Gesamtübersicht!A12</f>
        <v>p04b</v>
      </c>
      <c r="B12" s="65">
        <f>IF(Gesamtübersicht!C12&lt;&gt;"", Gesamtübersicht!C12, "")</f>
        <v>10050</v>
      </c>
      <c r="C12" s="65">
        <f>IF(Gesamtübersicht!C12&lt;&gt;"", Gesamtübersicht!F12+Gesamtübersicht!I12, "")</f>
        <v>9604</v>
      </c>
      <c r="D12" s="65">
        <f>IF(Gesamtübersicht!C12&lt;&gt;"", Gesamtübersicht!C12-Gesamtübersicht!F12-Gesamtübersicht!I12, "")</f>
        <v>446</v>
      </c>
      <c r="E12" s="66">
        <f>IF(Gesamtübersicht!N12&lt;&gt;"", Gesamtübersicht!N12, "")</f>
        <v>4.208955223880597E-2</v>
      </c>
    </row>
    <row r="13" spans="1:5" x14ac:dyDescent="0.25">
      <c r="A13" s="63" t="str">
        <f>Gesamtübersicht!A13</f>
        <v>p04c</v>
      </c>
      <c r="B13" s="67">
        <f>IF(Gesamtübersicht!C13&lt;&gt;"", Gesamtübersicht!C13, "")</f>
        <v>12292</v>
      </c>
      <c r="C13" s="67">
        <f>IF(Gesamtübersicht!C13&lt;&gt;"", Gesamtübersicht!F13+Gesamtübersicht!I13, "")</f>
        <v>11723</v>
      </c>
      <c r="D13" s="67">
        <f>IF(Gesamtübersicht!C13&lt;&gt;"", Gesamtübersicht!C13-Gesamtübersicht!F13-Gesamtübersicht!I13, "")</f>
        <v>569</v>
      </c>
      <c r="E13" s="68">
        <f>IF(Gesamtübersicht!N13&lt;&gt;"", Gesamtübersicht!N13, "")</f>
        <v>3.9781972014318254E-2</v>
      </c>
    </row>
    <row r="14" spans="1:5" x14ac:dyDescent="0.25">
      <c r="A14" s="62" t="str">
        <f>Gesamtübersicht!A14</f>
        <v>p05b</v>
      </c>
      <c r="B14" s="65">
        <f>IF(Gesamtübersicht!C14&lt;&gt;"", Gesamtübersicht!C14, "")</f>
        <v>21834</v>
      </c>
      <c r="C14" s="65">
        <f>IF(Gesamtübersicht!C14&lt;&gt;"", Gesamtübersicht!F14+Gesamtübersicht!I14, "")</f>
        <v>20543</v>
      </c>
      <c r="D14" s="65">
        <f>IF(Gesamtübersicht!C14&lt;&gt;"", Gesamtübersicht!C14-Gesamtübersicht!F14-Gesamtübersicht!I14, "")</f>
        <v>1291</v>
      </c>
      <c r="E14" s="66">
        <f>IF(Gesamtübersicht!N14&lt;&gt;"", Gesamtübersicht!N14, "")</f>
        <v>4.584592836859943E-2</v>
      </c>
    </row>
    <row r="15" spans="1:5" x14ac:dyDescent="0.25">
      <c r="A15" s="63" t="str">
        <f>Gesamtübersicht!A15</f>
        <v>p05c</v>
      </c>
      <c r="B15" s="67">
        <f>IF(Gesamtübersicht!C15&lt;&gt;"", Gesamtübersicht!C15, "")</f>
        <v>144</v>
      </c>
      <c r="C15" s="67">
        <f>IF(Gesamtübersicht!C15&lt;&gt;"", Gesamtübersicht!F15+Gesamtübersicht!I15, "")</f>
        <v>119</v>
      </c>
      <c r="D15" s="67">
        <f>IF(Gesamtübersicht!C15&lt;&gt;"", Gesamtübersicht!C15-Gesamtübersicht!F15-Gesamtübersicht!I15, "")</f>
        <v>25</v>
      </c>
      <c r="E15" s="68">
        <f>IF(Gesamtübersicht!N15&lt;&gt;"", Gesamtübersicht!N15, "")</f>
        <v>0.2013888888888889</v>
      </c>
    </row>
    <row r="16" spans="1:5" x14ac:dyDescent="0.25">
      <c r="A16" s="62" t="str">
        <f>Gesamtübersicht!A16</f>
        <v>p06a</v>
      </c>
      <c r="B16" s="65">
        <f>IF(Gesamtübersicht!C16&lt;&gt;"", Gesamtübersicht!C16, "")</f>
        <v>29283</v>
      </c>
      <c r="C16" s="65">
        <f>IF(Gesamtübersicht!C16&lt;&gt;"", Gesamtübersicht!F16+Gesamtübersicht!I16, "")</f>
        <v>27846</v>
      </c>
      <c r="D16" s="65">
        <f>IF(Gesamtübersicht!C16&lt;&gt;"", Gesamtübersicht!C16-Gesamtübersicht!F16-Gesamtübersicht!I16, "")</f>
        <v>1437</v>
      </c>
      <c r="E16" s="66">
        <f>IF(Gesamtübersicht!N16&lt;&gt;"", Gesamtübersicht!N16, "")</f>
        <v>4.005737117098658E-2</v>
      </c>
    </row>
    <row r="17" spans="1:5" x14ac:dyDescent="0.25">
      <c r="A17" s="63" t="str">
        <f>Gesamtübersicht!A18</f>
        <v>p07c</v>
      </c>
      <c r="B17" s="67">
        <f>IF(Gesamtübersicht!C18&lt;&gt;"", Gesamtübersicht!C18, "")</f>
        <v>2860</v>
      </c>
      <c r="C17" s="67">
        <f>IF(Gesamtübersicht!C18&lt;&gt;"", Gesamtübersicht!F18+Gesamtübersicht!I18, "")</f>
        <v>2651</v>
      </c>
      <c r="D17" s="67">
        <f>IF(Gesamtübersicht!C18&lt;&gt;"", Gesamtübersicht!C18-Gesamtübersicht!F18-Gesamtübersicht!I18, "")</f>
        <v>209</v>
      </c>
      <c r="E17" s="68">
        <f>IF(Gesamtübersicht!N18&lt;&gt;"", Gesamtübersicht!N18, "")</f>
        <v>7.3076923076923081E-2</v>
      </c>
    </row>
    <row r="18" spans="1:5" x14ac:dyDescent="0.25">
      <c r="A18" s="62" t="str">
        <f>Gesamtübersicht!A19</f>
        <v>p08a</v>
      </c>
      <c r="B18" s="65">
        <f>IF(Gesamtübersicht!C19&lt;&gt;"", Gesamtübersicht!C19, "")</f>
        <v>17168</v>
      </c>
      <c r="C18" s="65">
        <f>IF(Gesamtübersicht!C19&lt;&gt;"", Gesamtübersicht!F19+Gesamtübersicht!I19, "")</f>
        <v>14646</v>
      </c>
      <c r="D18" s="65">
        <f>IF(Gesamtübersicht!C19&lt;&gt;"", Gesamtübersicht!C19-Gesamtübersicht!F19-Gesamtübersicht!I19, "")</f>
        <v>2522</v>
      </c>
      <c r="E18" s="66">
        <f>IF(Gesamtübersicht!N19&lt;&gt;"", Gesamtübersicht!N19, "")</f>
        <v>0.14690121155638397</v>
      </c>
    </row>
    <row r="19" spans="1:5" x14ac:dyDescent="0.25">
      <c r="A19" s="63" t="str">
        <f>Gesamtübersicht!A20</f>
        <v>p08b</v>
      </c>
      <c r="B19" s="67">
        <f>IF(Gesamtübersicht!C20&lt;&gt;"", Gesamtübersicht!C20, "")</f>
        <v>25278</v>
      </c>
      <c r="C19" s="67">
        <f>IF(Gesamtübersicht!C20&lt;&gt;"", Gesamtübersicht!F20+Gesamtübersicht!I20, "")</f>
        <v>12660</v>
      </c>
      <c r="D19" s="67">
        <f>IF(Gesamtübersicht!C20&lt;&gt;"", Gesamtübersicht!C20-Gesamtübersicht!F20-Gesamtübersicht!I20, "")</f>
        <v>12618</v>
      </c>
      <c r="E19" s="68">
        <f>IF(Gesamtübersicht!N20&lt;&gt;"", Gesamtübersicht!N20, "")</f>
        <v>0.4991692380726323</v>
      </c>
    </row>
    <row r="20" spans="1:5" x14ac:dyDescent="0.25">
      <c r="A20" s="62" t="str">
        <f>Gesamtübersicht!A21</f>
        <v>p09a</v>
      </c>
      <c r="B20" s="65" t="str">
        <f>IF(Gesamtübersicht!C21&lt;&gt;"", Gesamtübersicht!C21, "")</f>
        <v/>
      </c>
      <c r="C20" s="65" t="str">
        <f>IF(Gesamtübersicht!C21&lt;&gt;"", Gesamtübersicht!F21+Gesamtübersicht!I21, "")</f>
        <v/>
      </c>
      <c r="D20" s="65" t="str">
        <f>IF(Gesamtübersicht!C21&lt;&gt;"", Gesamtübersicht!C21-Gesamtübersicht!F21-Gesamtübersicht!I21, "")</f>
        <v/>
      </c>
      <c r="E20" s="66" t="str">
        <f>IF(Gesamtübersicht!N21&lt;&gt;"", Gesamtübersicht!N21, "")</f>
        <v/>
      </c>
    </row>
    <row r="21" spans="1:5" x14ac:dyDescent="0.25">
      <c r="A21" s="63" t="str">
        <f>Gesamtübersicht!A22</f>
        <v>p09b</v>
      </c>
      <c r="B21" s="67" t="str">
        <f>IF(Gesamtübersicht!C22&lt;&gt;"", Gesamtübersicht!C22, "")</f>
        <v/>
      </c>
      <c r="C21" s="67" t="str">
        <f>IF(Gesamtübersicht!C22&lt;&gt;"", Gesamtübersicht!F22+Gesamtübersicht!I22, "")</f>
        <v/>
      </c>
      <c r="D21" s="67" t="str">
        <f>IF(Gesamtübersicht!C22&lt;&gt;"", Gesamtübersicht!C22-Gesamtübersicht!F22-Gesamtübersicht!I22, "")</f>
        <v/>
      </c>
      <c r="E21" s="68" t="str">
        <f>IF(Gesamtübersicht!N22&lt;&gt;"", Gesamtübersicht!N22, "")</f>
        <v/>
      </c>
    </row>
    <row r="22" spans="1:5" x14ac:dyDescent="0.25">
      <c r="A22" s="62" t="str">
        <f>Gesamtübersicht!A23</f>
        <v>p10a</v>
      </c>
      <c r="B22" s="65" t="str">
        <f>IF(Gesamtübersicht!C23&lt;&gt;"", Gesamtübersicht!C23, "")</f>
        <v/>
      </c>
      <c r="C22" s="65" t="str">
        <f>IF(Gesamtübersicht!C23&lt;&gt;"", Gesamtübersicht!F23+Gesamtübersicht!I23, "")</f>
        <v/>
      </c>
      <c r="D22" s="65" t="str">
        <f>IF(Gesamtübersicht!C23&lt;&gt;"", Gesamtübersicht!C23-Gesamtübersicht!F23-Gesamtübersicht!I23, "")</f>
        <v/>
      </c>
      <c r="E22" s="66" t="str">
        <f>IF(Gesamtübersicht!N23&lt;&gt;"", Gesamtübersicht!N23, "")</f>
        <v/>
      </c>
    </row>
    <row r="23" spans="1:5" x14ac:dyDescent="0.25">
      <c r="A23" s="63" t="str">
        <f>Gesamtübersicht!A24</f>
        <v>p10b</v>
      </c>
      <c r="B23" s="67" t="str">
        <f>IF(Gesamtübersicht!C24&lt;&gt;"", Gesamtübersicht!C24, "")</f>
        <v/>
      </c>
      <c r="C23" s="67" t="str">
        <f>IF(Gesamtübersicht!C24&lt;&gt;"", Gesamtübersicht!F24+Gesamtübersicht!I24, "")</f>
        <v/>
      </c>
      <c r="D23" s="67" t="str">
        <f>IF(Gesamtübersicht!C24&lt;&gt;"", Gesamtübersicht!C24-Gesamtübersicht!F24-Gesamtübersicht!I24, "")</f>
        <v/>
      </c>
      <c r="E23" s="68" t="str">
        <f>IF(Gesamtübersicht!N24&lt;&gt;"", Gesamtübersicht!N24, "")</f>
        <v/>
      </c>
    </row>
    <row r="24" spans="1:5" x14ac:dyDescent="0.25">
      <c r="A24" s="62" t="str">
        <f>Gesamtübersicht!A25</f>
        <v>p10c</v>
      </c>
      <c r="B24" s="65" t="str">
        <f>IF(Gesamtübersicht!C25&lt;&gt;"", Gesamtübersicht!C25, "")</f>
        <v/>
      </c>
      <c r="C24" s="65" t="str">
        <f>IF(Gesamtübersicht!C25&lt;&gt;"", Gesamtübersicht!F25+Gesamtübersicht!I25, "")</f>
        <v/>
      </c>
      <c r="D24" s="65" t="str">
        <f>IF(Gesamtübersicht!C25&lt;&gt;"", Gesamtübersicht!C25-Gesamtübersicht!F25-Gesamtübersicht!I25, "")</f>
        <v/>
      </c>
      <c r="E24" s="66" t="str">
        <f>IF(Gesamtübersicht!N25&lt;&gt;"", Gesamtübersicht!N25, "")</f>
        <v/>
      </c>
    </row>
    <row r="25" spans="1:5" x14ac:dyDescent="0.25">
      <c r="A25" s="63" t="str">
        <f>Gesamtübersicht!A26</f>
        <v>p11a</v>
      </c>
      <c r="B25" s="67" t="str">
        <f>IF(Gesamtübersicht!C26&lt;&gt;"", Gesamtübersicht!C26, "")</f>
        <v/>
      </c>
      <c r="C25" s="67" t="str">
        <f>IF(Gesamtübersicht!C26&lt;&gt;"", Gesamtübersicht!F26+Gesamtübersicht!I26, "")</f>
        <v/>
      </c>
      <c r="D25" s="67" t="str">
        <f>IF(Gesamtübersicht!C26&lt;&gt;"", Gesamtübersicht!C26-Gesamtübersicht!F26-Gesamtübersicht!I26, "")</f>
        <v/>
      </c>
      <c r="E25" s="68" t="str">
        <f>IF(Gesamtübersicht!N26&lt;&gt;"", Gesamtübersicht!N26, "")</f>
        <v/>
      </c>
    </row>
    <row r="26" spans="1:5" x14ac:dyDescent="0.25">
      <c r="A26" s="62" t="str">
        <f>Gesamtübersicht!A27</f>
        <v>p11b</v>
      </c>
      <c r="B26" s="65" t="str">
        <f>IF(Gesamtübersicht!C27&lt;&gt;"", Gesamtübersicht!C27, "")</f>
        <v/>
      </c>
      <c r="C26" s="65" t="str">
        <f>IF(Gesamtübersicht!C27&lt;&gt;"", Gesamtübersicht!F27+Gesamtübersicht!I27, "")</f>
        <v/>
      </c>
      <c r="D26" s="65" t="str">
        <f>IF(Gesamtübersicht!C27&lt;&gt;"", Gesamtübersicht!C27-Gesamtübersicht!F27-Gesamtübersicht!I27, "")</f>
        <v/>
      </c>
      <c r="E26" s="66" t="str">
        <f>IF(Gesamtübersicht!N27&lt;&gt;"", Gesamtübersicht!N27, "")</f>
        <v/>
      </c>
    </row>
    <row r="27" spans="1:5" x14ac:dyDescent="0.25">
      <c r="A27" s="63" t="str">
        <f>Gesamtübersicht!A28</f>
        <v>p11c</v>
      </c>
      <c r="B27" s="67" t="str">
        <f>IF(Gesamtübersicht!C28&lt;&gt;"", Gesamtübersicht!C28, "")</f>
        <v/>
      </c>
      <c r="C27" s="67" t="str">
        <f>IF(Gesamtübersicht!C28&lt;&gt;"", Gesamtübersicht!F28+Gesamtübersicht!I28, "")</f>
        <v/>
      </c>
      <c r="D27" s="67" t="str">
        <f>IF(Gesamtübersicht!C28&lt;&gt;"", Gesamtübersicht!C28-Gesamtübersicht!F28-Gesamtübersicht!I28, "")</f>
        <v/>
      </c>
      <c r="E27" s="68" t="str">
        <f>IF(Gesamtübersicht!N28&lt;&gt;"", Gesamtübersicht!N28, "")</f>
        <v/>
      </c>
    </row>
    <row r="28" spans="1:5" x14ac:dyDescent="0.25">
      <c r="A28" s="62" t="str">
        <f>Gesamtübersicht!A29</f>
        <v>p12a</v>
      </c>
      <c r="B28" s="65" t="str">
        <f>IF(Gesamtübersicht!C29&lt;&gt;"", Gesamtübersicht!C29, "")</f>
        <v/>
      </c>
      <c r="C28" s="65" t="str">
        <f>IF(Gesamtübersicht!C29&lt;&gt;"", Gesamtübersicht!F29+Gesamtübersicht!I29, "")</f>
        <v/>
      </c>
      <c r="D28" s="65" t="str">
        <f>IF(Gesamtübersicht!C29&lt;&gt;"", Gesamtübersicht!C29-Gesamtübersicht!F29-Gesamtübersicht!I29, "")</f>
        <v/>
      </c>
      <c r="E28" s="66" t="str">
        <f>IF(Gesamtübersicht!N29&lt;&gt;"", Gesamtübersicht!N29, "")</f>
        <v/>
      </c>
    </row>
    <row r="29" spans="1:5" x14ac:dyDescent="0.25">
      <c r="A29" s="63" t="str">
        <f>Gesamtübersicht!A30</f>
        <v>p12c</v>
      </c>
      <c r="B29" s="67" t="str">
        <f>IF(Gesamtübersicht!C30&lt;&gt;"", Gesamtübersicht!C30, "")</f>
        <v/>
      </c>
      <c r="C29" s="67" t="str">
        <f>IF(Gesamtübersicht!C30&lt;&gt;"", Gesamtübersicht!F30+Gesamtübersicht!I30, "")</f>
        <v/>
      </c>
      <c r="D29" s="67" t="str">
        <f>IF(Gesamtübersicht!C30&lt;&gt;"", Gesamtübersicht!C30-Gesamtübersicht!F30-Gesamtübersicht!I30, "")</f>
        <v/>
      </c>
      <c r="E29" s="68" t="str">
        <f>IF(Gesamtübersicht!N30&lt;&gt;"", Gesamtübersicht!N30, "")</f>
        <v/>
      </c>
    </row>
    <row r="30" spans="1:5" x14ac:dyDescent="0.25">
      <c r="A30" s="62" t="str">
        <f>Gesamtübersicht!A31</f>
        <v>p12e</v>
      </c>
      <c r="B30" s="65" t="str">
        <f>IF(Gesamtübersicht!C31&lt;&gt;"", Gesamtübersicht!C31, "")</f>
        <v/>
      </c>
      <c r="C30" s="65" t="str">
        <f>IF(Gesamtübersicht!C31&lt;&gt;"", Gesamtübersicht!F31+Gesamtübersicht!I31, "")</f>
        <v/>
      </c>
      <c r="D30" s="65" t="str">
        <f>IF(Gesamtübersicht!C31&lt;&gt;"", Gesamtübersicht!C31-Gesamtübersicht!F31-Gesamtübersicht!I31, "")</f>
        <v/>
      </c>
      <c r="E30" s="66" t="str">
        <f>IF(Gesamtübersicht!N31&lt;&gt;"", Gesamtübersicht!N31, "")</f>
        <v/>
      </c>
    </row>
    <row r="31" spans="1:5" x14ac:dyDescent="0.25">
      <c r="A31" s="63" t="str">
        <f>Gesamtübersicht!A32</f>
        <v>p12_eeg</v>
      </c>
      <c r="B31" s="67" t="str">
        <f>IF(Gesamtübersicht!C32&lt;&gt;"", Gesamtübersicht!C32, "")</f>
        <v/>
      </c>
      <c r="C31" s="67" t="str">
        <f>IF(Gesamtübersicht!C32&lt;&gt;"", Gesamtübersicht!F32+Gesamtübersicht!I32, "")</f>
        <v/>
      </c>
      <c r="D31" s="67" t="str">
        <f>IF(Gesamtübersicht!C32&lt;&gt;"", Gesamtübersicht!C32-Gesamtübersicht!F32-Gesamtübersicht!I32, "")</f>
        <v/>
      </c>
      <c r="E31" s="68" t="str">
        <f>IF(Gesamtübersicht!N32&lt;&gt;"", Gesamtübersicht!N32, "")</f>
        <v/>
      </c>
    </row>
  </sheetData>
  <sheetProtection algorithmName="SHA-512" hashValue="CKb7XZUicHPCnZyPSdCdJLaGQlQy+5M4UxeOIkloJzPHsLThlE2HlOM/FddMwkMKonE2s3oX7h7OD3l4xiwa0w==" saltValue="xPOgFx3PBoe8egWciU/OoQ==" spinCount="100000" sheet="1"/>
  <protectedRanges>
    <protectedRange sqref="E2:E31" name="Schätzquote"/>
  </protectedRanges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B0246-A2A1-49EF-8AD3-E2634A7ADAAD}">
  <sheetPr codeName="Tabelle37"/>
  <dimension ref="A1:I37"/>
  <sheetViews>
    <sheetView workbookViewId="0">
      <selection activeCell="K29" sqref="K29"/>
    </sheetView>
  </sheetViews>
  <sheetFormatPr baseColWidth="10" defaultRowHeight="13.8" x14ac:dyDescent="0.25"/>
  <cols>
    <col min="1" max="1" width="13.5" bestFit="1" customWidth="1"/>
    <col min="2" max="3" width="20.59765625" bestFit="1" customWidth="1"/>
    <col min="4" max="4" width="13.09765625" bestFit="1" customWidth="1"/>
    <col min="5" max="6" width="18.296875" bestFit="1" customWidth="1"/>
    <col min="7" max="8" width="18" bestFit="1" customWidth="1"/>
    <col min="9" max="9" width="13.69921875" bestFit="1" customWidth="1"/>
  </cols>
  <sheetData>
    <row r="1" spans="1:9" x14ac:dyDescent="0.25">
      <c r="A1" s="86" t="s">
        <v>147</v>
      </c>
      <c r="B1" s="86"/>
      <c r="C1" s="86"/>
      <c r="D1" s="86"/>
      <c r="E1" s="86"/>
      <c r="F1" s="86"/>
      <c r="G1" s="86"/>
      <c r="H1" s="86"/>
      <c r="I1" s="86"/>
    </row>
    <row r="2" spans="1:9" x14ac:dyDescent="0.25">
      <c r="A2" s="86"/>
      <c r="B2" s="86"/>
      <c r="C2" s="86"/>
      <c r="D2" s="86"/>
      <c r="E2" s="86"/>
      <c r="F2" s="86"/>
      <c r="G2" s="86"/>
      <c r="H2" s="86"/>
      <c r="I2" s="86"/>
    </row>
    <row r="3" spans="1:9" x14ac:dyDescent="0.25">
      <c r="A3" s="53" t="s">
        <v>44</v>
      </c>
      <c r="B3" s="53" t="s">
        <v>136</v>
      </c>
      <c r="C3" s="53" t="s">
        <v>144</v>
      </c>
      <c r="D3" s="53" t="s">
        <v>80</v>
      </c>
      <c r="E3" s="53" t="s">
        <v>137</v>
      </c>
      <c r="F3" s="53" t="s">
        <v>142</v>
      </c>
      <c r="G3" s="53" t="s">
        <v>138</v>
      </c>
      <c r="H3" s="53" t="s">
        <v>143</v>
      </c>
      <c r="I3" s="53" t="s">
        <v>134</v>
      </c>
    </row>
    <row r="4" spans="1:9" x14ac:dyDescent="0.25">
      <c r="A4" s="53" t="s">
        <v>0</v>
      </c>
      <c r="B4" s="83">
        <v>2.81E-2</v>
      </c>
      <c r="C4" s="70">
        <f>Gesamtübersicht!N2</f>
        <v>4.2462533059065527E-2</v>
      </c>
      <c r="D4" s="70">
        <f>Tabelle10[[#This Row],[Schätzquote 2025]]-Tabelle10[[#This Row],[Schätzquote 2024]]</f>
        <v>1.4362533059065527E-2</v>
      </c>
      <c r="E4" s="71">
        <v>13508</v>
      </c>
      <c r="F4" s="71">
        <f>Gesamtübersicht!C2</f>
        <v>13612</v>
      </c>
      <c r="G4" s="71">
        <v>379</v>
      </c>
      <c r="H4" s="71">
        <f>Gesamtübersicht!K2</f>
        <v>578</v>
      </c>
      <c r="I4" s="71">
        <f>Tabelle10[[#This Row],[geschätzt 2025]]-Tabelle10[[#This Row],[geschätzt 2024]]</f>
        <v>199</v>
      </c>
    </row>
    <row r="5" spans="1:9" x14ac:dyDescent="0.25">
      <c r="A5" s="53" t="s">
        <v>2</v>
      </c>
      <c r="B5" s="83">
        <v>2.0199999999999999E-2</v>
      </c>
      <c r="C5" s="70">
        <f>Gesamtübersicht!N3</f>
        <v>2.5875190258751901E-2</v>
      </c>
      <c r="D5" s="70">
        <f>Tabelle10[[#This Row],[Schätzquote 2025]]-Tabelle10[[#This Row],[Schätzquote 2024]]</f>
        <v>5.6751902587519019E-3</v>
      </c>
      <c r="E5" s="71">
        <v>10910</v>
      </c>
      <c r="F5" s="71">
        <f>Gesamtübersicht!C3</f>
        <v>11169</v>
      </c>
      <c r="G5" s="71">
        <v>220</v>
      </c>
      <c r="H5" s="71">
        <f>Gesamtübersicht!K3</f>
        <v>289</v>
      </c>
      <c r="I5" s="71">
        <f>Tabelle10[[#This Row],[geschätzt 2025]]-Tabelle10[[#This Row],[geschätzt 2024]]</f>
        <v>69</v>
      </c>
    </row>
    <row r="6" spans="1:9" x14ac:dyDescent="0.25">
      <c r="A6" s="53" t="s">
        <v>4</v>
      </c>
      <c r="B6" s="83">
        <v>2.4299999999999999E-2</v>
      </c>
      <c r="C6" s="70">
        <f>Gesamtübersicht!N4</f>
        <v>3.0693981711207203E-2</v>
      </c>
      <c r="D6" s="70">
        <f>Tabelle10[[#This Row],[Schätzquote 2025]]-Tabelle10[[#This Row],[Schätzquote 2024]]</f>
        <v>6.3939817112072042E-3</v>
      </c>
      <c r="E6" s="71">
        <v>13698</v>
      </c>
      <c r="F6" s="71">
        <f>Gesamtübersicht!C4</f>
        <v>14107</v>
      </c>
      <c r="G6" s="71">
        <v>333</v>
      </c>
      <c r="H6" s="71">
        <f>Gesamtübersicht!K4</f>
        <v>433</v>
      </c>
      <c r="I6" s="71">
        <f>Tabelle10[[#This Row],[geschätzt 2025]]-Tabelle10[[#This Row],[geschätzt 2024]]</f>
        <v>100</v>
      </c>
    </row>
    <row r="7" spans="1:9" x14ac:dyDescent="0.25">
      <c r="A7" s="53" t="s">
        <v>6</v>
      </c>
      <c r="B7" s="83">
        <v>2.5399999999999999E-2</v>
      </c>
      <c r="C7" s="70">
        <f>Gesamtübersicht!N5</f>
        <v>3.301195526417277E-2</v>
      </c>
      <c r="D7" s="70">
        <f>Tabelle10[[#This Row],[Schätzquote 2025]]-Tabelle10[[#This Row],[Schätzquote 2024]]</f>
        <v>7.6119552641727706E-3</v>
      </c>
      <c r="E7" s="71">
        <v>13005</v>
      </c>
      <c r="F7" s="71">
        <f>Gesamtübersicht!C5</f>
        <v>12965</v>
      </c>
      <c r="G7" s="71">
        <v>330</v>
      </c>
      <c r="H7" s="71">
        <f>Gesamtübersicht!K5</f>
        <v>428</v>
      </c>
      <c r="I7" s="71">
        <f>Tabelle10[[#This Row],[geschätzt 2025]]-Tabelle10[[#This Row],[geschätzt 2024]]</f>
        <v>98</v>
      </c>
    </row>
    <row r="8" spans="1:9" x14ac:dyDescent="0.25">
      <c r="A8" s="53" t="s">
        <v>8</v>
      </c>
      <c r="B8" s="83">
        <v>3.6400000000000002E-2</v>
      </c>
      <c r="C8" s="70">
        <f>Gesamtübersicht!N6</f>
        <v>2.8694250403009134E-2</v>
      </c>
      <c r="D8" s="70">
        <f>Tabelle10[[#This Row],[Schätzquote 2025]]-Tabelle10[[#This Row],[Schätzquote 2024]]</f>
        <v>-7.7057495969908678E-3</v>
      </c>
      <c r="E8" s="71">
        <v>9535</v>
      </c>
      <c r="F8" s="71">
        <f>Gesamtübersicht!C6</f>
        <v>9305</v>
      </c>
      <c r="G8" s="71">
        <v>347</v>
      </c>
      <c r="H8" s="71">
        <f>Gesamtübersicht!K6</f>
        <v>267</v>
      </c>
      <c r="I8" s="71">
        <f>Tabelle10[[#This Row],[geschätzt 2025]]-Tabelle10[[#This Row],[geschätzt 2024]]</f>
        <v>-80</v>
      </c>
    </row>
    <row r="9" spans="1:9" x14ac:dyDescent="0.25">
      <c r="A9" s="53" t="s">
        <v>10</v>
      </c>
      <c r="B9" s="83">
        <v>3.15E-2</v>
      </c>
      <c r="C9" s="70">
        <f>Gesamtübersicht!N7</f>
        <v>3.0957755562721703E-2</v>
      </c>
      <c r="D9" s="70">
        <f>Tabelle10[[#This Row],[Schätzquote 2025]]-Tabelle10[[#This Row],[Schätzquote 2024]]</f>
        <v>-5.4224443727829766E-4</v>
      </c>
      <c r="E9" s="71">
        <v>9888</v>
      </c>
      <c r="F9" s="71">
        <f>Gesamtübersicht!C7</f>
        <v>9303</v>
      </c>
      <c r="G9" s="71">
        <v>311</v>
      </c>
      <c r="H9" s="71">
        <f>Gesamtübersicht!K7</f>
        <v>288</v>
      </c>
      <c r="I9" s="71">
        <f>Tabelle10[[#This Row],[geschätzt 2025]]-Tabelle10[[#This Row],[geschätzt 2024]]</f>
        <v>-23</v>
      </c>
    </row>
    <row r="10" spans="1:9" x14ac:dyDescent="0.25">
      <c r="A10" s="53" t="s">
        <v>12</v>
      </c>
      <c r="B10" s="83">
        <v>3.6900000000000002E-2</v>
      </c>
      <c r="C10" s="70">
        <f>Gesamtübersicht!N8</f>
        <v>3.0474134351905671E-2</v>
      </c>
      <c r="D10" s="70">
        <f>Tabelle10[[#This Row],[Schätzquote 2025]]-Tabelle10[[#This Row],[Schätzquote 2024]]</f>
        <v>-6.425865648094331E-3</v>
      </c>
      <c r="E10" s="71">
        <v>12145</v>
      </c>
      <c r="F10" s="71">
        <f>Gesamtübersicht!C8</f>
        <v>12043</v>
      </c>
      <c r="G10" s="71">
        <v>448</v>
      </c>
      <c r="H10" s="71">
        <f>Gesamtübersicht!K8</f>
        <v>367</v>
      </c>
      <c r="I10" s="71">
        <f>Tabelle10[[#This Row],[geschätzt 2025]]-Tabelle10[[#This Row],[geschätzt 2024]]</f>
        <v>-81</v>
      </c>
    </row>
    <row r="11" spans="1:9" x14ac:dyDescent="0.25">
      <c r="A11" s="53" t="s">
        <v>14</v>
      </c>
      <c r="B11" s="83">
        <v>3.39E-2</v>
      </c>
      <c r="C11" s="70">
        <f>Gesamtübersicht!N9</f>
        <v>3.2678723899712797E-2</v>
      </c>
      <c r="D11" s="70">
        <f>Tabelle10[[#This Row],[Schätzquote 2025]]-Tabelle10[[#This Row],[Schätzquote 2024]]</f>
        <v>-1.2212761002872025E-3</v>
      </c>
      <c r="E11" s="71">
        <v>12697</v>
      </c>
      <c r="F11" s="71">
        <f>Gesamtübersicht!C9</f>
        <v>12883</v>
      </c>
      <c r="G11" s="71">
        <v>431</v>
      </c>
      <c r="H11" s="71">
        <f>Gesamtübersicht!K9</f>
        <v>421</v>
      </c>
      <c r="I11" s="71">
        <f>Tabelle10[[#This Row],[geschätzt 2025]]-Tabelle10[[#This Row],[geschätzt 2024]]</f>
        <v>-10</v>
      </c>
    </row>
    <row r="12" spans="1:9" x14ac:dyDescent="0.25">
      <c r="A12" s="53" t="s">
        <v>16</v>
      </c>
      <c r="B12" s="83">
        <v>2.92E-2</v>
      </c>
      <c r="C12" s="70">
        <f>Gesamtübersicht!N10</f>
        <v>3.3938251237332073E-2</v>
      </c>
      <c r="D12" s="70">
        <f>Tabelle10[[#This Row],[Schätzquote 2025]]-Tabelle10[[#This Row],[Schätzquote 2024]]</f>
        <v>4.738251237332073E-3</v>
      </c>
      <c r="E12" s="71">
        <v>12817</v>
      </c>
      <c r="F12" s="71">
        <f>Gesamtübersicht!C10</f>
        <v>12729</v>
      </c>
      <c r="G12" s="71">
        <v>374</v>
      </c>
      <c r="H12" s="71">
        <f>Gesamtübersicht!K10</f>
        <v>432</v>
      </c>
      <c r="I12" s="71">
        <f>Tabelle10[[#This Row],[geschätzt 2025]]-Tabelle10[[#This Row],[geschätzt 2024]]</f>
        <v>58</v>
      </c>
    </row>
    <row r="13" spans="1:9" x14ac:dyDescent="0.25">
      <c r="A13" s="53" t="s">
        <v>18</v>
      </c>
      <c r="B13" s="83">
        <v>1.9099999999999999E-2</v>
      </c>
      <c r="C13" s="70">
        <f>Gesamtübersicht!N11</f>
        <v>3.1723526805494021E-2</v>
      </c>
      <c r="D13" s="70">
        <f>Tabelle10[[#This Row],[Schätzquote 2025]]-Tabelle10[[#This Row],[Schätzquote 2024]]</f>
        <v>1.2623526805494022E-2</v>
      </c>
      <c r="E13" s="71">
        <v>11095</v>
      </c>
      <c r="F13" s="71">
        <f>Gesamtübersicht!C11</f>
        <v>11285</v>
      </c>
      <c r="G13" s="71">
        <v>212</v>
      </c>
      <c r="H13" s="71">
        <f>Gesamtübersicht!K11</f>
        <v>358</v>
      </c>
      <c r="I13" s="71">
        <f>Tabelle10[[#This Row],[geschätzt 2025]]-Tabelle10[[#This Row],[geschätzt 2024]]</f>
        <v>146</v>
      </c>
    </row>
    <row r="14" spans="1:9" x14ac:dyDescent="0.25">
      <c r="A14" s="53" t="s">
        <v>20</v>
      </c>
      <c r="B14" s="83">
        <v>3.8800000000000001E-2</v>
      </c>
      <c r="C14" s="70">
        <f>Gesamtübersicht!N12</f>
        <v>4.208955223880597E-2</v>
      </c>
      <c r="D14" s="70">
        <f>Tabelle10[[#This Row],[Schätzquote 2025]]-Tabelle10[[#This Row],[Schätzquote 2024]]</f>
        <v>3.2895522388059692E-3</v>
      </c>
      <c r="E14" s="71">
        <v>10102</v>
      </c>
      <c r="F14" s="71">
        <f>Gesamtübersicht!C12</f>
        <v>10050</v>
      </c>
      <c r="G14" s="71">
        <v>392</v>
      </c>
      <c r="H14" s="71">
        <f>Gesamtübersicht!K12</f>
        <v>423</v>
      </c>
      <c r="I14" s="71">
        <f>Tabelle10[[#This Row],[geschätzt 2025]]-Tabelle10[[#This Row],[geschätzt 2024]]</f>
        <v>31</v>
      </c>
    </row>
    <row r="15" spans="1:9" x14ac:dyDescent="0.25">
      <c r="A15" s="53" t="s">
        <v>22</v>
      </c>
      <c r="B15" s="83">
        <v>3.2899999999999999E-2</v>
      </c>
      <c r="C15" s="70">
        <f>Gesamtübersicht!N13</f>
        <v>3.9781972014318254E-2</v>
      </c>
      <c r="D15" s="70">
        <f>Tabelle10[[#This Row],[Schätzquote 2025]]-Tabelle10[[#This Row],[Schätzquote 2024]]</f>
        <v>6.881972014318255E-3</v>
      </c>
      <c r="E15" s="71">
        <v>12420</v>
      </c>
      <c r="F15" s="71">
        <f>Gesamtübersicht!C13</f>
        <v>12292</v>
      </c>
      <c r="G15" s="71">
        <v>408</v>
      </c>
      <c r="H15" s="71">
        <f>Gesamtübersicht!K13</f>
        <v>489</v>
      </c>
      <c r="I15" s="71">
        <f>Tabelle10[[#This Row],[geschätzt 2025]]-Tabelle10[[#This Row],[geschätzt 2024]]</f>
        <v>81</v>
      </c>
    </row>
    <row r="16" spans="1:9" x14ac:dyDescent="0.25">
      <c r="A16" s="53" t="s">
        <v>24</v>
      </c>
      <c r="B16" s="83">
        <v>7.6899999999999996E-2</v>
      </c>
      <c r="C16" s="70">
        <f>Gesamtübersicht!N15</f>
        <v>0.2013888888888889</v>
      </c>
      <c r="D16" s="70">
        <f>Tabelle10[[#This Row],[Schätzquote 2025]]-Tabelle10[[#This Row],[Schätzquote 2024]]</f>
        <v>0.1244888888888889</v>
      </c>
      <c r="E16" s="71">
        <v>143</v>
      </c>
      <c r="F16" s="71">
        <f>Gesamtübersicht!C15</f>
        <v>144</v>
      </c>
      <c r="G16" s="71">
        <v>11</v>
      </c>
      <c r="H16" s="71">
        <f>Gesamtübersicht!K15</f>
        <v>29</v>
      </c>
      <c r="I16" s="71">
        <f>Tabelle10[[#This Row],[geschätzt 2025]]-Tabelle10[[#This Row],[geschätzt 2024]]</f>
        <v>18</v>
      </c>
    </row>
    <row r="17" spans="1:9" x14ac:dyDescent="0.25">
      <c r="A17" s="53" t="s">
        <v>26</v>
      </c>
      <c r="B17" s="83">
        <v>4.0599999999999997E-2</v>
      </c>
      <c r="C17" s="70">
        <f>Gesamtübersicht!N14</f>
        <v>4.584592836859943E-2</v>
      </c>
      <c r="D17" s="70">
        <f>Tabelle10[[#This Row],[Schätzquote 2025]]-Tabelle10[[#This Row],[Schätzquote 2024]]</f>
        <v>5.2459283685994326E-3</v>
      </c>
      <c r="E17" s="71">
        <v>21639</v>
      </c>
      <c r="F17" s="71">
        <f>Gesamtübersicht!C14</f>
        <v>21834</v>
      </c>
      <c r="G17" s="71">
        <v>879</v>
      </c>
      <c r="H17" s="71">
        <f>Gesamtübersicht!K14</f>
        <v>1001</v>
      </c>
      <c r="I17" s="71">
        <f>Tabelle10[[#This Row],[geschätzt 2025]]-Tabelle10[[#This Row],[geschätzt 2024]]</f>
        <v>122</v>
      </c>
    </row>
    <row r="18" spans="1:9" x14ac:dyDescent="0.25">
      <c r="A18" s="53" t="s">
        <v>28</v>
      </c>
      <c r="B18" s="83">
        <v>3.5799999999999998E-2</v>
      </c>
      <c r="C18" s="70">
        <f>Gesamtübersicht!N16</f>
        <v>4.005737117098658E-2</v>
      </c>
      <c r="D18" s="70">
        <f>Tabelle10[[#This Row],[Schätzquote 2025]]-Tabelle10[[#This Row],[Schätzquote 2024]]</f>
        <v>4.2573711709865819E-3</v>
      </c>
      <c r="E18" s="71">
        <v>28483</v>
      </c>
      <c r="F18" s="71">
        <f>Gesamtübersicht!C16</f>
        <v>29283</v>
      </c>
      <c r="G18" s="71">
        <v>1020</v>
      </c>
      <c r="H18" s="71">
        <f>Gesamtübersicht!K16</f>
        <v>1173</v>
      </c>
      <c r="I18" s="71">
        <f>Tabelle10[[#This Row],[geschätzt 2025]]-Tabelle10[[#This Row],[geschätzt 2024]]</f>
        <v>153</v>
      </c>
    </row>
    <row r="19" spans="1:9" x14ac:dyDescent="0.25">
      <c r="A19" s="53" t="s">
        <v>135</v>
      </c>
      <c r="B19" s="70"/>
      <c r="C19" s="70"/>
      <c r="D19" s="70">
        <f>Tabelle10[[#This Row],[Schätzquote 2025]]-Tabelle10[[#This Row],[Schätzquote 2024]]</f>
        <v>0</v>
      </c>
      <c r="E19" s="71"/>
      <c r="F19" s="71"/>
      <c r="G19" s="71"/>
      <c r="H19" s="72"/>
      <c r="I19" s="71">
        <f>SUM(I4:I18)</f>
        <v>881</v>
      </c>
    </row>
    <row r="21" spans="1:9" x14ac:dyDescent="0.25">
      <c r="A21" s="53" t="s">
        <v>44</v>
      </c>
      <c r="B21" s="53" t="s">
        <v>136</v>
      </c>
      <c r="C21" s="53" t="s">
        <v>144</v>
      </c>
      <c r="D21" s="53" t="s">
        <v>80</v>
      </c>
      <c r="E21" s="53" t="s">
        <v>137</v>
      </c>
      <c r="F21" s="53" t="s">
        <v>142</v>
      </c>
      <c r="G21" s="53" t="s">
        <v>138</v>
      </c>
      <c r="H21" s="53" t="s">
        <v>143</v>
      </c>
      <c r="I21" s="53" t="s">
        <v>134</v>
      </c>
    </row>
    <row r="22" spans="1:9" x14ac:dyDescent="0.25">
      <c r="A22" s="73" t="s">
        <v>46</v>
      </c>
      <c r="B22" s="70">
        <v>5.1299999999999998E-2</v>
      </c>
      <c r="C22" s="70">
        <f>Gesamtübersicht!N18</f>
        <v>7.3076923076923081E-2</v>
      </c>
      <c r="D22" s="70">
        <f>Tabelle104[[#This Row],[Schätzquote 2025]]-Tabelle104[[#This Row],[Schätzquote 2024]]</f>
        <v>2.1776923076923083E-2</v>
      </c>
      <c r="E22" s="71"/>
      <c r="F22" s="71">
        <f>Gesamtübersicht!C18</f>
        <v>2860</v>
      </c>
      <c r="G22" s="71"/>
      <c r="H22" s="71">
        <f>Gesamtübersicht!K18</f>
        <v>209</v>
      </c>
      <c r="I22" s="71">
        <f>Tabelle104[[#This Row],[geschätzt 2025]]-Tabelle104[[#This Row],[geschätzt 2024]]</f>
        <v>209</v>
      </c>
    </row>
    <row r="23" spans="1:9" x14ac:dyDescent="0.25">
      <c r="A23" s="73" t="s">
        <v>48</v>
      </c>
      <c r="B23" s="70">
        <v>3.5700000000000003E-2</v>
      </c>
      <c r="C23" s="70">
        <f>Gesamtübersicht!N19</f>
        <v>0.14690121155638397</v>
      </c>
      <c r="D23" s="70">
        <f>Tabelle104[[#This Row],[Schätzquote 2025]]-Tabelle104[[#This Row],[Schätzquote 2024]]</f>
        <v>0.11120121155638396</v>
      </c>
      <c r="E23" s="71"/>
      <c r="F23" s="71">
        <f>Gesamtübersicht!C19</f>
        <v>17168</v>
      </c>
      <c r="G23" s="71"/>
      <c r="H23" s="71">
        <f>Gesamtübersicht!K19</f>
        <v>2522</v>
      </c>
      <c r="I23" s="71">
        <f>Tabelle104[[#This Row],[geschätzt 2025]]-Tabelle104[[#This Row],[geschätzt 2024]]</f>
        <v>2522</v>
      </c>
    </row>
    <row r="24" spans="1:9" x14ac:dyDescent="0.25">
      <c r="A24" s="73" t="s">
        <v>50</v>
      </c>
      <c r="B24" s="70">
        <v>3.2399999999999998E-2</v>
      </c>
      <c r="C24" s="70">
        <f>Gesamtübersicht!N20</f>
        <v>0.4991692380726323</v>
      </c>
      <c r="D24" s="70">
        <f>Tabelle104[[#This Row],[Schätzquote 2025]]-Tabelle104[[#This Row],[Schätzquote 2024]]</f>
        <v>0.46676923807263232</v>
      </c>
      <c r="E24" s="71"/>
      <c r="F24" s="71">
        <f>Gesamtübersicht!C20</f>
        <v>25278</v>
      </c>
      <c r="G24" s="71"/>
      <c r="H24" s="71">
        <f>Gesamtübersicht!K20</f>
        <v>12618</v>
      </c>
      <c r="I24" s="71">
        <f>Tabelle104[[#This Row],[geschätzt 2025]]-Tabelle104[[#This Row],[geschätzt 2024]]</f>
        <v>12618</v>
      </c>
    </row>
    <row r="25" spans="1:9" x14ac:dyDescent="0.25">
      <c r="A25" s="73" t="s">
        <v>52</v>
      </c>
      <c r="B25" s="70">
        <v>5.62E-2</v>
      </c>
      <c r="C25" s="70">
        <f>Gesamtübersicht!N21</f>
        <v>0</v>
      </c>
      <c r="D25" s="70">
        <f>Tabelle104[[#This Row],[Schätzquote 2025]]-Tabelle104[[#This Row],[Schätzquote 2024]]</f>
        <v>-5.62E-2</v>
      </c>
      <c r="E25" s="71"/>
      <c r="F25" s="71">
        <f>Gesamtübersicht!C21</f>
        <v>0</v>
      </c>
      <c r="G25" s="71"/>
      <c r="H25" s="71">
        <f>Gesamtübersicht!K21</f>
        <v>0</v>
      </c>
      <c r="I25" s="71">
        <f>Tabelle104[[#This Row],[geschätzt 2025]]-Tabelle104[[#This Row],[geschätzt 2024]]</f>
        <v>0</v>
      </c>
    </row>
    <row r="26" spans="1:9" x14ac:dyDescent="0.25">
      <c r="A26" s="73" t="s">
        <v>54</v>
      </c>
      <c r="B26" s="70"/>
      <c r="C26" s="70">
        <f>Gesamtübersicht!N22</f>
        <v>0</v>
      </c>
      <c r="D26" s="70">
        <f>Tabelle104[[#This Row],[Schätzquote 2025]]-Tabelle104[[#This Row],[Schätzquote 2024]]</f>
        <v>0</v>
      </c>
      <c r="E26" s="71"/>
      <c r="F26" s="71">
        <f>Gesamtübersicht!C22</f>
        <v>0</v>
      </c>
      <c r="G26" s="71"/>
      <c r="H26" s="71">
        <f>Gesamtübersicht!K22</f>
        <v>0</v>
      </c>
      <c r="I26" s="71">
        <f>Tabelle104[[#This Row],[geschätzt 2025]]-Tabelle104[[#This Row],[geschätzt 2024]]</f>
        <v>0</v>
      </c>
    </row>
    <row r="27" spans="1:9" x14ac:dyDescent="0.25">
      <c r="A27" s="73" t="s">
        <v>56</v>
      </c>
      <c r="B27" s="70"/>
      <c r="C27" s="70">
        <f>Gesamtübersicht!N23</f>
        <v>0</v>
      </c>
      <c r="D27" s="70">
        <f>Tabelle104[[#This Row],[Schätzquote 2025]]-Tabelle104[[#This Row],[Schätzquote 2024]]</f>
        <v>0</v>
      </c>
      <c r="E27" s="71"/>
      <c r="F27" s="71">
        <f>Gesamtübersicht!C23</f>
        <v>0</v>
      </c>
      <c r="G27" s="71"/>
      <c r="H27" s="71">
        <f>Gesamtübersicht!K23</f>
        <v>0</v>
      </c>
      <c r="I27" s="71">
        <f>Tabelle104[[#This Row],[geschätzt 2025]]-Tabelle104[[#This Row],[geschätzt 2024]]</f>
        <v>0</v>
      </c>
    </row>
    <row r="28" spans="1:9" x14ac:dyDescent="0.25">
      <c r="A28" s="73" t="s">
        <v>58</v>
      </c>
      <c r="B28" s="70"/>
      <c r="C28" s="70">
        <f>Gesamtübersicht!N24</f>
        <v>0</v>
      </c>
      <c r="D28" s="70">
        <f>Tabelle104[[#This Row],[Schätzquote 2025]]-Tabelle104[[#This Row],[Schätzquote 2024]]</f>
        <v>0</v>
      </c>
      <c r="E28" s="71"/>
      <c r="F28" s="71">
        <f>Gesamtübersicht!C24</f>
        <v>0</v>
      </c>
      <c r="G28" s="71"/>
      <c r="H28" s="71">
        <f>Gesamtübersicht!K24</f>
        <v>0</v>
      </c>
      <c r="I28" s="71">
        <f>Tabelle104[[#This Row],[geschätzt 2025]]-Tabelle104[[#This Row],[geschätzt 2024]]</f>
        <v>0</v>
      </c>
    </row>
    <row r="29" spans="1:9" x14ac:dyDescent="0.25">
      <c r="A29" s="73" t="s">
        <v>60</v>
      </c>
      <c r="B29" s="70"/>
      <c r="C29" s="70">
        <f>Gesamtübersicht!N25</f>
        <v>0</v>
      </c>
      <c r="D29" s="70">
        <f>Tabelle104[[#This Row],[Schätzquote 2025]]-Tabelle104[[#This Row],[Schätzquote 2024]]</f>
        <v>0</v>
      </c>
      <c r="E29" s="71"/>
      <c r="F29" s="71">
        <f>Gesamtübersicht!C25</f>
        <v>0</v>
      </c>
      <c r="G29" s="71"/>
      <c r="H29" s="71">
        <f>Gesamtübersicht!K25</f>
        <v>0</v>
      </c>
      <c r="I29" s="71">
        <f>Tabelle104[[#This Row],[geschätzt 2025]]-Tabelle104[[#This Row],[geschätzt 2024]]</f>
        <v>0</v>
      </c>
    </row>
    <row r="30" spans="1:9" x14ac:dyDescent="0.25">
      <c r="A30" s="73" t="s">
        <v>62</v>
      </c>
      <c r="B30" s="70"/>
      <c r="C30" s="70">
        <f>Gesamtübersicht!N26</f>
        <v>0</v>
      </c>
      <c r="D30" s="70">
        <f>Tabelle104[[#This Row],[Schätzquote 2025]]-Tabelle104[[#This Row],[Schätzquote 2024]]</f>
        <v>0</v>
      </c>
      <c r="E30" s="71"/>
      <c r="F30" s="71">
        <f>Gesamtübersicht!C26</f>
        <v>0</v>
      </c>
      <c r="G30" s="71"/>
      <c r="H30" s="71">
        <f>Gesamtübersicht!K26</f>
        <v>0</v>
      </c>
      <c r="I30" s="71">
        <f>Tabelle104[[#This Row],[geschätzt 2025]]-Tabelle104[[#This Row],[geschätzt 2024]]</f>
        <v>0</v>
      </c>
    </row>
    <row r="31" spans="1:9" x14ac:dyDescent="0.25">
      <c r="A31" s="73" t="s">
        <v>64</v>
      </c>
      <c r="B31" s="70"/>
      <c r="C31" s="70">
        <f>Gesamtübersicht!N27</f>
        <v>0</v>
      </c>
      <c r="D31" s="70">
        <f>Tabelle104[[#This Row],[Schätzquote 2025]]-Tabelle104[[#This Row],[Schätzquote 2024]]</f>
        <v>0</v>
      </c>
      <c r="E31" s="71"/>
      <c r="F31" s="71">
        <f>Gesamtübersicht!C27</f>
        <v>0</v>
      </c>
      <c r="G31" s="71"/>
      <c r="H31" s="71">
        <f>Gesamtübersicht!K27</f>
        <v>0</v>
      </c>
      <c r="I31" s="71">
        <f>Tabelle104[[#This Row],[geschätzt 2025]]-Tabelle104[[#This Row],[geschätzt 2024]]</f>
        <v>0</v>
      </c>
    </row>
    <row r="32" spans="1:9" x14ac:dyDescent="0.25">
      <c r="A32" s="73" t="s">
        <v>66</v>
      </c>
      <c r="B32" s="70"/>
      <c r="C32" s="70">
        <f>Gesamtübersicht!N28</f>
        <v>0</v>
      </c>
      <c r="D32" s="70">
        <f>Tabelle104[[#This Row],[Schätzquote 2025]]-Tabelle104[[#This Row],[Schätzquote 2024]]</f>
        <v>0</v>
      </c>
      <c r="E32" s="71"/>
      <c r="F32" s="71">
        <f>Gesamtübersicht!C28</f>
        <v>0</v>
      </c>
      <c r="G32" s="71"/>
      <c r="H32" s="71">
        <f>Gesamtübersicht!K28</f>
        <v>0</v>
      </c>
      <c r="I32" s="71">
        <f>Tabelle104[[#This Row],[geschätzt 2025]]-Tabelle104[[#This Row],[geschätzt 2024]]</f>
        <v>0</v>
      </c>
    </row>
    <row r="33" spans="1:9" x14ac:dyDescent="0.25">
      <c r="A33" s="73" t="s">
        <v>68</v>
      </c>
      <c r="B33" s="70"/>
      <c r="C33" s="70">
        <f>Gesamtübersicht!N29</f>
        <v>0</v>
      </c>
      <c r="D33" s="70">
        <f>Tabelle104[[#This Row],[Schätzquote 2025]]-Tabelle104[[#This Row],[Schätzquote 2024]]</f>
        <v>0</v>
      </c>
      <c r="E33" s="71"/>
      <c r="F33" s="71">
        <f>Gesamtübersicht!C29</f>
        <v>0</v>
      </c>
      <c r="G33" s="71"/>
      <c r="H33" s="71">
        <f>Gesamtübersicht!K29</f>
        <v>0</v>
      </c>
      <c r="I33" s="71">
        <f>Tabelle104[[#This Row],[geschätzt 2025]]-Tabelle104[[#This Row],[geschätzt 2024]]</f>
        <v>0</v>
      </c>
    </row>
    <row r="34" spans="1:9" x14ac:dyDescent="0.25">
      <c r="A34" s="73" t="s">
        <v>70</v>
      </c>
      <c r="B34" s="70"/>
      <c r="C34" s="70">
        <f>Gesamtübersicht!N30</f>
        <v>0</v>
      </c>
      <c r="D34" s="70">
        <f>Tabelle104[[#This Row],[Schätzquote 2025]]-Tabelle104[[#This Row],[Schätzquote 2024]]</f>
        <v>0</v>
      </c>
      <c r="E34" s="71"/>
      <c r="F34" s="71">
        <f>Gesamtübersicht!C30</f>
        <v>0</v>
      </c>
      <c r="G34" s="71"/>
      <c r="H34" s="71">
        <f>Gesamtübersicht!K30</f>
        <v>0</v>
      </c>
      <c r="I34" s="71">
        <f>Tabelle104[[#This Row],[geschätzt 2025]]-Tabelle104[[#This Row],[geschätzt 2024]]</f>
        <v>0</v>
      </c>
    </row>
    <row r="35" spans="1:9" x14ac:dyDescent="0.25">
      <c r="A35" s="73" t="s">
        <v>72</v>
      </c>
      <c r="B35" s="70"/>
      <c r="C35" s="70">
        <f>Gesamtübersicht!N31</f>
        <v>0</v>
      </c>
      <c r="D35" s="70">
        <f>Tabelle104[[#This Row],[Schätzquote 2025]]-Tabelle104[[#This Row],[Schätzquote 2024]]</f>
        <v>0</v>
      </c>
      <c r="E35" s="71"/>
      <c r="F35" s="71"/>
      <c r="G35" s="71"/>
      <c r="H35" s="72"/>
      <c r="I35" s="71">
        <f>Tabelle104[[#This Row],[geschätzt 2025]]-Tabelle104[[#This Row],[geschätzt 2024]]</f>
        <v>0</v>
      </c>
    </row>
    <row r="36" spans="1:9" x14ac:dyDescent="0.25">
      <c r="A36" s="73" t="s">
        <v>74</v>
      </c>
      <c r="B36" s="70"/>
      <c r="C36" s="70"/>
      <c r="D36" s="70">
        <f>Tabelle104[[#This Row],[Schätzquote 2025]]-Tabelle104[[#This Row],[Schätzquote 2024]]</f>
        <v>0</v>
      </c>
      <c r="E36" s="71"/>
      <c r="F36" s="71"/>
      <c r="G36" s="71"/>
      <c r="H36" s="72"/>
      <c r="I36" s="71">
        <f>SUM(I22:I35)</f>
        <v>15349</v>
      </c>
    </row>
    <row r="37" spans="1:9" x14ac:dyDescent="0.25">
      <c r="A37" s="73" t="s">
        <v>135</v>
      </c>
      <c r="B37" s="70"/>
      <c r="C37" s="70"/>
      <c r="D37" s="70">
        <f>Tabelle104[[#This Row],[Schätzquote 2025]]-Tabelle104[[#This Row],[Schätzquote 2024]]</f>
        <v>0</v>
      </c>
      <c r="E37" s="71"/>
      <c r="F37" s="71"/>
      <c r="G37" s="71"/>
      <c r="H37" s="72"/>
      <c r="I37" s="71">
        <f>Tabelle104[[#This Row],[geschätzt 2025]]-Tabelle104[[#This Row],[geschätzt 2024]]</f>
        <v>0</v>
      </c>
    </row>
  </sheetData>
  <mergeCells count="1">
    <mergeCell ref="A1:I2"/>
  </mergeCells>
  <pageMargins left="0.7" right="0.7" top="0.78740157499999996" bottom="0.78740157499999996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2FAA8-CC28-48B7-B3EA-82D98ED0D61F}">
  <sheetPr codeName="Tabelle6"/>
  <dimension ref="A1:D7"/>
  <sheetViews>
    <sheetView workbookViewId="0">
      <selection activeCell="D8" sqref="D8"/>
    </sheetView>
  </sheetViews>
  <sheetFormatPr baseColWidth="10" defaultRowHeight="13.8" x14ac:dyDescent="0.25"/>
  <cols>
    <col min="1" max="1" width="18.69921875" bestFit="1" customWidth="1"/>
    <col min="2" max="2" width="10.5" bestFit="1" customWidth="1"/>
    <col min="3" max="3" width="16" bestFit="1" customWidth="1"/>
  </cols>
  <sheetData>
    <row r="1" spans="1:4" x14ac:dyDescent="0.25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5">
      <c r="A2" t="s">
        <v>145</v>
      </c>
      <c r="B2" s="52">
        <v>45660</v>
      </c>
      <c r="C2" s="36">
        <v>0.83620000000000005</v>
      </c>
      <c r="D2" s="58">
        <v>0.02</v>
      </c>
    </row>
    <row r="3" spans="1:4" x14ac:dyDescent="0.25">
      <c r="A3" t="s">
        <v>82</v>
      </c>
      <c r="B3" s="52">
        <v>45667</v>
      </c>
      <c r="C3" s="36">
        <v>0.26719999999999999</v>
      </c>
      <c r="D3" s="58">
        <v>0.02</v>
      </c>
    </row>
    <row r="4" spans="1:4" x14ac:dyDescent="0.25">
      <c r="A4" t="s">
        <v>85</v>
      </c>
      <c r="B4" s="52">
        <v>45674</v>
      </c>
      <c r="C4" s="36">
        <v>0.1091</v>
      </c>
      <c r="D4" s="58">
        <v>0.02</v>
      </c>
    </row>
    <row r="5" spans="1:4" x14ac:dyDescent="0.25">
      <c r="A5" t="s">
        <v>86</v>
      </c>
      <c r="B5" s="52">
        <v>45681</v>
      </c>
      <c r="C5" s="36">
        <v>6.0314428445489274E-2</v>
      </c>
      <c r="D5" s="58">
        <v>0.02</v>
      </c>
    </row>
    <row r="6" spans="1:4" x14ac:dyDescent="0.25">
      <c r="A6" t="s">
        <v>89</v>
      </c>
      <c r="B6" s="52">
        <v>45688</v>
      </c>
      <c r="C6" s="36">
        <v>5.0599999999999999E-2</v>
      </c>
      <c r="D6" s="58">
        <v>0.02</v>
      </c>
    </row>
    <row r="7" spans="1:4" x14ac:dyDescent="0.25">
      <c r="A7" t="s">
        <v>90</v>
      </c>
      <c r="B7" s="52">
        <v>45691</v>
      </c>
      <c r="C7" s="36">
        <v>4.2500000000000003E-2</v>
      </c>
      <c r="D7" s="58">
        <v>0.02</v>
      </c>
    </row>
  </sheetData>
  <protectedRanges>
    <protectedRange sqref="C2:C5" name="Bereich1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40599-1548-4940-8F1F-5743DD4C6B64}">
  <sheetPr codeName="Tabelle7"/>
  <dimension ref="A1:D7"/>
  <sheetViews>
    <sheetView workbookViewId="0">
      <selection activeCell="C9" sqref="C9"/>
    </sheetView>
  </sheetViews>
  <sheetFormatPr baseColWidth="10" defaultRowHeight="13.8" x14ac:dyDescent="0.25"/>
  <cols>
    <col min="1" max="1" width="18.69921875" bestFit="1" customWidth="1"/>
    <col min="2" max="2" width="10.5" bestFit="1" customWidth="1"/>
    <col min="3" max="3" width="16" bestFit="1" customWidth="1"/>
  </cols>
  <sheetData>
    <row r="1" spans="1:4" x14ac:dyDescent="0.25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5">
      <c r="A2" t="s">
        <v>85</v>
      </c>
      <c r="B2" s="52">
        <v>45674</v>
      </c>
      <c r="C2" s="58">
        <v>0.38779999999999998</v>
      </c>
      <c r="D2" s="58">
        <v>0.02</v>
      </c>
    </row>
    <row r="3" spans="1:4" x14ac:dyDescent="0.25">
      <c r="A3" t="s">
        <v>86</v>
      </c>
      <c r="B3" s="52">
        <v>45681</v>
      </c>
      <c r="C3" s="58">
        <v>7.0641955412301907E-2</v>
      </c>
      <c r="D3" s="58">
        <v>0.02</v>
      </c>
    </row>
    <row r="4" spans="1:4" x14ac:dyDescent="0.25">
      <c r="A4" t="s">
        <v>89</v>
      </c>
      <c r="B4" s="52">
        <v>45688</v>
      </c>
      <c r="C4" s="58">
        <v>4.0899999999999999E-2</v>
      </c>
      <c r="D4" s="58">
        <v>0.02</v>
      </c>
    </row>
    <row r="5" spans="1:4" x14ac:dyDescent="0.25">
      <c r="A5" t="s">
        <v>90</v>
      </c>
      <c r="B5" s="52">
        <v>45695</v>
      </c>
      <c r="C5" s="58">
        <v>2.92E-2</v>
      </c>
      <c r="D5" s="58">
        <v>0.02</v>
      </c>
    </row>
    <row r="6" spans="1:4" x14ac:dyDescent="0.25">
      <c r="A6" t="s">
        <v>91</v>
      </c>
      <c r="B6" s="52">
        <v>45698</v>
      </c>
      <c r="C6" s="58">
        <v>2.5875190258751901E-2</v>
      </c>
      <c r="D6" s="58">
        <v>0.02</v>
      </c>
    </row>
    <row r="7" spans="1:4" x14ac:dyDescent="0.25">
      <c r="B7" s="52"/>
      <c r="C7" s="58"/>
      <c r="D7" s="58"/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C6AC2-D97F-4D5B-AD12-0AE1F58BC7CF}">
  <sheetPr codeName="Tabelle8"/>
  <dimension ref="A1:D15"/>
  <sheetViews>
    <sheetView workbookViewId="0">
      <selection activeCell="C6" sqref="C6"/>
    </sheetView>
  </sheetViews>
  <sheetFormatPr baseColWidth="10" defaultRowHeight="13.8" x14ac:dyDescent="0.25"/>
  <cols>
    <col min="1" max="1" width="18.69921875" bestFit="1" customWidth="1"/>
    <col min="2" max="2" width="10.5" bestFit="1" customWidth="1"/>
    <col min="3" max="3" width="16" bestFit="1" customWidth="1"/>
  </cols>
  <sheetData>
    <row r="1" spans="1:4" x14ac:dyDescent="0.25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5">
      <c r="A2" t="s">
        <v>86</v>
      </c>
      <c r="B2" s="52">
        <v>45681</v>
      </c>
      <c r="C2" s="58">
        <v>0.6160771248316439</v>
      </c>
      <c r="D2" s="58">
        <v>0.02</v>
      </c>
    </row>
    <row r="3" spans="1:4" x14ac:dyDescent="0.25">
      <c r="A3" t="s">
        <v>89</v>
      </c>
      <c r="B3" s="52">
        <v>45688</v>
      </c>
      <c r="C3" s="58">
        <v>0.1426</v>
      </c>
      <c r="D3" s="58">
        <v>0.02</v>
      </c>
    </row>
    <row r="4" spans="1:4" x14ac:dyDescent="0.25">
      <c r="A4" t="s">
        <v>90</v>
      </c>
      <c r="B4" s="52">
        <v>45695</v>
      </c>
      <c r="C4" s="58">
        <v>6.5003189905720571E-2</v>
      </c>
      <c r="D4" s="58">
        <v>0.02</v>
      </c>
    </row>
    <row r="5" spans="1:4" x14ac:dyDescent="0.25">
      <c r="A5" t="s">
        <v>91</v>
      </c>
      <c r="B5" s="52">
        <v>45702</v>
      </c>
      <c r="C5" s="58">
        <v>4.6399999999999997E-2</v>
      </c>
      <c r="D5" s="58">
        <v>0.02</v>
      </c>
    </row>
    <row r="6" spans="1:4" x14ac:dyDescent="0.25">
      <c r="A6" t="s">
        <v>92</v>
      </c>
      <c r="B6" s="52">
        <v>45708</v>
      </c>
      <c r="C6" s="58">
        <v>3.0693981711207203E-2</v>
      </c>
      <c r="D6" s="58">
        <v>0.02</v>
      </c>
    </row>
    <row r="15" spans="1:4" x14ac:dyDescent="0.25">
      <c r="C15" t="s">
        <v>146</v>
      </c>
    </row>
  </sheetData>
  <sheetProtection algorithmName="SHA-512" hashValue="bhRZzpHKMqEF10VnCnpblOuPFQD4zyOQrNbE4LKh7eAIKjQbyWQbZEo85FoGUrWcyPayiFBSk7uF2vVv3fMTxw==" saltValue="uQj/qy8MP62ct6K6xr6WVw==" spinCount="100000" sheet="1" objects="1" scenarios="1"/>
  <protectedRanges>
    <protectedRange sqref="C2:C6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B213-D6CA-4F6C-8CE9-5D2C6CA99B9E}">
  <sheetPr codeName="Tabelle9"/>
  <dimension ref="A1:D6"/>
  <sheetViews>
    <sheetView workbookViewId="0">
      <selection activeCell="C7" sqref="C7"/>
    </sheetView>
  </sheetViews>
  <sheetFormatPr baseColWidth="10" defaultRowHeight="13.8" x14ac:dyDescent="0.25"/>
  <cols>
    <col min="1" max="1" width="18.69921875" bestFit="1" customWidth="1"/>
    <col min="2" max="2" width="10.5" bestFit="1" customWidth="1"/>
    <col min="3" max="3" width="16" bestFit="1" customWidth="1"/>
  </cols>
  <sheetData>
    <row r="1" spans="1:4" x14ac:dyDescent="0.25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5">
      <c r="A2" t="s">
        <v>90</v>
      </c>
      <c r="B2" s="52">
        <v>45695</v>
      </c>
      <c r="C2" s="58">
        <v>0.3220208252988816</v>
      </c>
      <c r="D2" s="58">
        <v>0.02</v>
      </c>
    </row>
    <row r="3" spans="1:4" x14ac:dyDescent="0.25">
      <c r="A3" t="s">
        <v>91</v>
      </c>
      <c r="B3" s="52">
        <v>45702</v>
      </c>
      <c r="C3" s="58">
        <v>8.7234863092942538E-2</v>
      </c>
      <c r="D3" s="58">
        <v>0.02</v>
      </c>
    </row>
    <row r="4" spans="1:4" x14ac:dyDescent="0.25">
      <c r="A4" t="s">
        <v>92</v>
      </c>
      <c r="B4" s="52">
        <v>45709</v>
      </c>
      <c r="C4" s="58">
        <v>5.3065946779791748E-2</v>
      </c>
      <c r="D4" s="58">
        <v>0.02</v>
      </c>
    </row>
    <row r="5" spans="1:4" x14ac:dyDescent="0.25">
      <c r="A5" t="s">
        <v>93</v>
      </c>
      <c r="B5" s="52">
        <v>45716</v>
      </c>
      <c r="C5" s="58">
        <v>4.3424604704974931E-2</v>
      </c>
      <c r="D5" s="58">
        <v>0.02</v>
      </c>
    </row>
    <row r="6" spans="1:4" x14ac:dyDescent="0.25">
      <c r="A6" t="s">
        <v>94</v>
      </c>
      <c r="B6" s="52">
        <v>45721</v>
      </c>
      <c r="C6" s="58">
        <v>3.3000000000000002E-2</v>
      </c>
      <c r="D6" s="58">
        <v>0.02</v>
      </c>
    </row>
  </sheetData>
  <sheetProtection algorithmName="SHA-512" hashValue="RUcFxav2RlYG0Mhh+hvmwelCY+fPOR2PyCjivBaF41um+pxxMYrGwCkZ6r/XXUf+sdOTEOF2bltur+7eLB3Q7A==" saltValue="LO3yHRiI7lelpGbayG8beg==" spinCount="100000" sheet="1" objects="1" scenarios="1"/>
  <protectedRanges>
    <protectedRange sqref="C2:C6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D148E-4875-4894-9EA4-67CFDC57E4F6}">
  <sheetPr codeName="Tabelle10"/>
  <dimension ref="A1:D6"/>
  <sheetViews>
    <sheetView workbookViewId="0">
      <selection activeCell="B7" sqref="B7"/>
    </sheetView>
  </sheetViews>
  <sheetFormatPr baseColWidth="10" defaultRowHeight="13.8" x14ac:dyDescent="0.25"/>
  <cols>
    <col min="1" max="1" width="18.69921875" bestFit="1" customWidth="1"/>
    <col min="2" max="2" width="10.5" bestFit="1" customWidth="1"/>
    <col min="3" max="3" width="16" bestFit="1" customWidth="1"/>
  </cols>
  <sheetData>
    <row r="1" spans="1:4" x14ac:dyDescent="0.25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5">
      <c r="A2" t="s">
        <v>91</v>
      </c>
      <c r="B2" s="52">
        <v>45702</v>
      </c>
      <c r="C2" s="58">
        <v>0.42880171950564211</v>
      </c>
      <c r="D2" s="58">
        <v>0.02</v>
      </c>
    </row>
    <row r="3" spans="1:4" x14ac:dyDescent="0.25">
      <c r="A3" t="s">
        <v>92</v>
      </c>
      <c r="B3" s="52">
        <v>45709</v>
      </c>
      <c r="C3" s="58">
        <v>6.6953250940354647E-2</v>
      </c>
      <c r="D3" s="58">
        <v>0.02</v>
      </c>
    </row>
    <row r="4" spans="1:4" x14ac:dyDescent="0.25">
      <c r="A4" t="s">
        <v>93</v>
      </c>
      <c r="B4" s="52">
        <v>45716</v>
      </c>
      <c r="C4" s="58">
        <v>4.7071466953250943E-2</v>
      </c>
      <c r="D4" s="58">
        <v>0.02</v>
      </c>
    </row>
    <row r="5" spans="1:4" x14ac:dyDescent="0.25">
      <c r="A5" t="s">
        <v>94</v>
      </c>
      <c r="B5" s="52">
        <v>45723</v>
      </c>
      <c r="C5" s="58">
        <v>4.0300913487372379E-2</v>
      </c>
      <c r="D5" s="58">
        <v>0.02</v>
      </c>
    </row>
    <row r="6" spans="1:4" x14ac:dyDescent="0.25">
      <c r="A6" t="s">
        <v>95</v>
      </c>
      <c r="B6" s="52">
        <v>45728</v>
      </c>
      <c r="C6" s="58">
        <v>2.8694250403009134E-2</v>
      </c>
      <c r="D6" s="58">
        <v>0.02</v>
      </c>
    </row>
  </sheetData>
  <sheetProtection algorithmName="SHA-512" hashValue="rikvjvzb8qoo2wo0tdxQ5Qp0L7d0w2ydW8Oh4zdbUdUCMsFK1U9X/GJBecpxr+OW0v9Wmw2Kly0fS7OW/9+UOA==" saltValue="3PwDurxidIXQHugpPKDU4g==" spinCount="100000" sheet="1" objects="1" scenarios="1"/>
  <protectedRanges>
    <protectedRange sqref="C2:C6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A40A1-07D5-40E1-9A6A-7B7BEE0F766A}">
  <sheetPr codeName="Tabelle11"/>
  <dimension ref="A1:D6"/>
  <sheetViews>
    <sheetView workbookViewId="0">
      <selection activeCell="B9" sqref="B9"/>
    </sheetView>
  </sheetViews>
  <sheetFormatPr baseColWidth="10" defaultRowHeight="13.8" x14ac:dyDescent="0.25"/>
  <cols>
    <col min="1" max="1" width="18.69921875" bestFit="1" customWidth="1"/>
    <col min="2" max="2" width="10.5" bestFit="1" customWidth="1"/>
    <col min="3" max="3" width="16" bestFit="1" customWidth="1"/>
  </cols>
  <sheetData>
    <row r="1" spans="1:4" x14ac:dyDescent="0.25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5">
      <c r="A2" t="s">
        <v>93</v>
      </c>
      <c r="B2" s="52">
        <v>45716</v>
      </c>
      <c r="C2" s="58">
        <v>0.28904654412555092</v>
      </c>
      <c r="D2" s="58">
        <v>0.02</v>
      </c>
    </row>
    <row r="3" spans="1:4" x14ac:dyDescent="0.25">
      <c r="A3" t="s">
        <v>94</v>
      </c>
      <c r="B3" s="52">
        <v>45723</v>
      </c>
      <c r="C3" s="58">
        <v>7.3739653875094055E-2</v>
      </c>
      <c r="D3" s="58">
        <v>0.02</v>
      </c>
    </row>
    <row r="4" spans="1:4" x14ac:dyDescent="0.25">
      <c r="A4" t="s">
        <v>95</v>
      </c>
      <c r="B4" s="52">
        <v>45730</v>
      </c>
      <c r="C4" s="58">
        <v>3.8159733419327102E-2</v>
      </c>
      <c r="D4" s="58">
        <v>0.02</v>
      </c>
    </row>
    <row r="5" spans="1:4" x14ac:dyDescent="0.25">
      <c r="A5" t="s">
        <v>96</v>
      </c>
      <c r="B5" s="52">
        <v>45736</v>
      </c>
      <c r="C5" s="58">
        <v>3.0957755562721703E-2</v>
      </c>
      <c r="D5" s="58">
        <v>0.02</v>
      </c>
    </row>
    <row r="6" spans="1:4" x14ac:dyDescent="0.25">
      <c r="B6" s="52"/>
      <c r="C6" s="58"/>
      <c r="D6" s="58"/>
    </row>
  </sheetData>
  <sheetProtection algorithmName="SHA-512" hashValue="+d/6u+Ve9Na0bN7UUdRFK1ag1q+TBUMVOgdhGnTaY3UU9iSXCsKnT8y+qOl+vq9O80bbmh1bouq2vd+OGKY04w==" saltValue="2A9mYA6cmcRqBxKyD8Gjkg==" spinCount="100000" sheet="1" objects="1" scenarios="1"/>
  <protectedRanges>
    <protectedRange sqref="C2:C6" name="Bereich1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04B3A-F9C5-49FD-BD66-7302722E948B}">
  <sheetPr codeName="Tabelle12"/>
  <dimension ref="A1:D7"/>
  <sheetViews>
    <sheetView workbookViewId="0">
      <selection activeCell="B7" sqref="B7"/>
    </sheetView>
  </sheetViews>
  <sheetFormatPr baseColWidth="10" defaultRowHeight="13.8" x14ac:dyDescent="0.25"/>
  <cols>
    <col min="1" max="1" width="18.69921875" bestFit="1" customWidth="1"/>
    <col min="2" max="2" width="10.5" bestFit="1" customWidth="1"/>
    <col min="3" max="3" width="16" bestFit="1" customWidth="1"/>
  </cols>
  <sheetData>
    <row r="1" spans="1:4" x14ac:dyDescent="0.25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5">
      <c r="A2" t="s">
        <v>94</v>
      </c>
      <c r="B2" s="52">
        <v>45723</v>
      </c>
      <c r="C2" s="58">
        <v>0.59553267458274517</v>
      </c>
      <c r="D2" s="58">
        <v>0.02</v>
      </c>
    </row>
    <row r="3" spans="1:4" x14ac:dyDescent="0.25">
      <c r="A3" t="s">
        <v>95</v>
      </c>
      <c r="B3" s="52">
        <v>45730</v>
      </c>
      <c r="C3" s="58">
        <v>9.9642946109773312E-2</v>
      </c>
      <c r="D3" s="58">
        <v>0.02</v>
      </c>
    </row>
    <row r="4" spans="1:4" x14ac:dyDescent="0.25">
      <c r="A4" t="s">
        <v>96</v>
      </c>
      <c r="B4" s="52">
        <v>45737</v>
      </c>
      <c r="C4" s="58">
        <v>5.7294694013119651E-2</v>
      </c>
      <c r="D4" s="58">
        <v>0.02</v>
      </c>
    </row>
    <row r="5" spans="1:4" x14ac:dyDescent="0.25">
      <c r="A5" t="s">
        <v>97</v>
      </c>
      <c r="B5" s="52">
        <v>45744</v>
      </c>
      <c r="C5" s="58">
        <v>3.7200033214315371E-2</v>
      </c>
      <c r="D5" s="58">
        <v>0.02</v>
      </c>
    </row>
    <row r="6" spans="1:4" x14ac:dyDescent="0.25">
      <c r="A6" t="s">
        <v>98</v>
      </c>
      <c r="B6" s="52">
        <v>45749</v>
      </c>
      <c r="C6" s="58">
        <v>3.0474134351905671E-2</v>
      </c>
      <c r="D6" s="58">
        <v>0.02</v>
      </c>
    </row>
    <row r="7" spans="1:4" x14ac:dyDescent="0.25">
      <c r="B7" s="52"/>
      <c r="C7" s="57"/>
      <c r="D7" s="58"/>
    </row>
  </sheetData>
  <sheetProtection algorithmName="SHA-512" hashValue="cTMPgP+0V/evmIEZpJzpBH/ltD9Xs4ME8nZCGuZqnjysSh5v9RwZwn1F6lDpAflPHAYfXZvhE5U3DNsMn5PXoQ==" saltValue="owMEDDX1sTL0vTru4dZ76w==" spinCount="100000" sheet="1" objects="1" scenarios="1"/>
  <protectedRanges>
    <protectedRange sqref="C2:C7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593D0-F466-46F0-8E68-49D947F04799}">
  <sheetPr codeName="Tabelle13"/>
  <dimension ref="A1:D8"/>
  <sheetViews>
    <sheetView workbookViewId="0">
      <selection activeCell="C10" sqref="C10"/>
    </sheetView>
  </sheetViews>
  <sheetFormatPr baseColWidth="10" defaultRowHeight="13.8" x14ac:dyDescent="0.25"/>
  <cols>
    <col min="1" max="1" width="18.69921875" bestFit="1" customWidth="1"/>
    <col min="2" max="2" width="10.5" bestFit="1" customWidth="1"/>
    <col min="3" max="3" width="16" bestFit="1" customWidth="1"/>
  </cols>
  <sheetData>
    <row r="1" spans="1:4" x14ac:dyDescent="0.25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5">
      <c r="A2" t="s">
        <v>96</v>
      </c>
      <c r="B2" s="52">
        <v>45737</v>
      </c>
      <c r="C2" s="58">
        <v>0.11619964294030893</v>
      </c>
      <c r="D2" s="58">
        <v>0.02</v>
      </c>
    </row>
    <row r="3" spans="1:4" x14ac:dyDescent="0.25">
      <c r="A3" t="s">
        <v>97</v>
      </c>
      <c r="B3" s="52">
        <v>45744</v>
      </c>
      <c r="C3" s="58">
        <v>5.0919816812854152E-2</v>
      </c>
      <c r="D3" s="58">
        <v>0.02</v>
      </c>
    </row>
    <row r="4" spans="1:4" x14ac:dyDescent="0.25">
      <c r="A4" t="s">
        <v>98</v>
      </c>
      <c r="B4" s="52">
        <v>45751</v>
      </c>
      <c r="C4" s="58">
        <v>3.9975161064969338E-2</v>
      </c>
      <c r="D4" s="58">
        <v>0.02</v>
      </c>
    </row>
    <row r="5" spans="1:4" x14ac:dyDescent="0.25">
      <c r="A5" t="s">
        <v>99</v>
      </c>
      <c r="B5" s="52">
        <v>45758</v>
      </c>
      <c r="C5" s="58">
        <v>3.2678723899712797E-2</v>
      </c>
      <c r="D5" s="58">
        <v>0.02</v>
      </c>
    </row>
    <row r="6" spans="1:4" x14ac:dyDescent="0.25">
      <c r="B6" s="52"/>
      <c r="C6" s="58"/>
      <c r="D6" s="58"/>
    </row>
    <row r="7" spans="1:4" x14ac:dyDescent="0.25">
      <c r="B7" s="52"/>
      <c r="C7" s="58"/>
      <c r="D7" s="58"/>
    </row>
    <row r="8" spans="1:4" x14ac:dyDescent="0.25">
      <c r="B8" s="52"/>
      <c r="C8" s="58"/>
      <c r="D8" s="58"/>
    </row>
  </sheetData>
  <sheetProtection algorithmName="SHA-512" hashValue="KolviChCoL0dqcHykv4lgavKFRAQOjqKZ2X1D2iEpQjT7zKQkWwrs1gsMpz08HJU9HppJwa2TNHvbtjwFWYFjQ==" saltValue="T5aExiY0CaKS+/bqKY0B2Q==" spinCount="100000" sheet="1" objects="1" scenarios="1"/>
  <protectedRanges>
    <protectedRange sqref="C2:C8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A2589-6B54-4EC2-A7BD-58FE7BE1D025}">
  <sheetPr codeName="Tabelle14"/>
  <dimension ref="A1:D6"/>
  <sheetViews>
    <sheetView workbookViewId="0">
      <selection activeCell="C6" sqref="C6"/>
    </sheetView>
  </sheetViews>
  <sheetFormatPr baseColWidth="10" defaultRowHeight="13.8" x14ac:dyDescent="0.25"/>
  <cols>
    <col min="1" max="1" width="18.69921875" bestFit="1" customWidth="1"/>
    <col min="2" max="2" width="10.5" bestFit="1" customWidth="1"/>
    <col min="3" max="3" width="16" bestFit="1" customWidth="1"/>
  </cols>
  <sheetData>
    <row r="1" spans="1:4" x14ac:dyDescent="0.25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5">
      <c r="A2" t="s">
        <v>97</v>
      </c>
      <c r="B2" s="52">
        <v>45744</v>
      </c>
      <c r="C2" s="58">
        <v>0.48448424856626598</v>
      </c>
      <c r="D2" s="58">
        <v>0.02</v>
      </c>
    </row>
    <row r="3" spans="1:4" x14ac:dyDescent="0.25">
      <c r="A3" t="s">
        <v>98</v>
      </c>
      <c r="B3" s="52">
        <v>45751</v>
      </c>
      <c r="C3" s="58">
        <v>7.7932280619058839E-2</v>
      </c>
      <c r="D3" s="58">
        <v>0.02</v>
      </c>
    </row>
    <row r="4" spans="1:4" x14ac:dyDescent="0.25">
      <c r="A4" t="s">
        <v>99</v>
      </c>
      <c r="B4" s="52">
        <v>45758</v>
      </c>
      <c r="C4" s="58">
        <v>4.8000628486134025E-2</v>
      </c>
      <c r="D4" s="58">
        <v>0.02</v>
      </c>
    </row>
    <row r="5" spans="1:4" x14ac:dyDescent="0.25">
      <c r="A5" t="s">
        <v>100</v>
      </c>
      <c r="B5" s="52">
        <v>45764</v>
      </c>
      <c r="C5" s="58">
        <v>3.39E-2</v>
      </c>
      <c r="D5" s="58">
        <v>0.02</v>
      </c>
    </row>
    <row r="6" spans="1:4" x14ac:dyDescent="0.25">
      <c r="B6" s="52"/>
      <c r="C6" s="58"/>
      <c r="D6" s="58"/>
    </row>
  </sheetData>
  <sheetProtection algorithmName="SHA-512" hashValue="i9hUF1GntQI3FQsY2DKvwbcNlDowGBgv7JqJo1/paGfTsauynXwVx3nP0AbEtXgYPa2bYsnwlMNjhiv6bzoQ/A==" saltValue="fsTmRhfNj0jhz5VLcmnPkg==" spinCount="100000" sheet="1" objects="1" scenarios="1"/>
  <protectedRanges>
    <protectedRange sqref="C2:C6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F3EDE-9D1C-44DA-BF57-701D85A8E01B}">
  <sheetPr codeName="Tabelle15"/>
  <dimension ref="A1:D6"/>
  <sheetViews>
    <sheetView workbookViewId="0">
      <selection activeCell="C6" sqref="C6"/>
    </sheetView>
  </sheetViews>
  <sheetFormatPr baseColWidth="10" defaultRowHeight="13.8" x14ac:dyDescent="0.25"/>
  <cols>
    <col min="1" max="1" width="18.69921875" bestFit="1" customWidth="1"/>
    <col min="2" max="2" width="10.5" bestFit="1" customWidth="1"/>
    <col min="3" max="3" width="16" bestFit="1" customWidth="1"/>
  </cols>
  <sheetData>
    <row r="1" spans="1:4" x14ac:dyDescent="0.25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5">
      <c r="A2" t="s">
        <v>99</v>
      </c>
      <c r="B2" s="52">
        <v>45758</v>
      </c>
      <c r="C2" s="58">
        <v>0.4356225077536553</v>
      </c>
      <c r="D2" s="58">
        <v>0.02</v>
      </c>
    </row>
    <row r="3" spans="1:4" x14ac:dyDescent="0.25">
      <c r="A3" t="s">
        <v>100</v>
      </c>
      <c r="B3" s="52">
        <v>45765</v>
      </c>
      <c r="C3" s="58">
        <v>8.0799999999999997E-2</v>
      </c>
      <c r="D3" s="58">
        <v>0.02</v>
      </c>
    </row>
    <row r="4" spans="1:4" x14ac:dyDescent="0.25">
      <c r="A4" t="s">
        <v>101</v>
      </c>
      <c r="B4" s="52">
        <v>45772</v>
      </c>
      <c r="C4" s="58">
        <v>5.1299999999999998E-2</v>
      </c>
      <c r="D4" s="58">
        <v>0.02</v>
      </c>
    </row>
    <row r="5" spans="1:4" x14ac:dyDescent="0.25">
      <c r="A5" t="s">
        <v>102</v>
      </c>
      <c r="B5" s="52">
        <v>45777</v>
      </c>
      <c r="C5" s="58">
        <v>3.1723526805494021E-2</v>
      </c>
      <c r="D5" s="58">
        <v>0.02</v>
      </c>
    </row>
    <row r="6" spans="1:4" x14ac:dyDescent="0.25">
      <c r="B6" s="52"/>
      <c r="C6" s="57"/>
      <c r="D6" s="58"/>
    </row>
  </sheetData>
  <sheetProtection algorithmName="SHA-512" hashValue="YEAggoHTlu4+1vBHBIjW+XamBvflCzMbQPwqhVkrIDDWt7iHpLeeoLCmaTq7ZQgPQYKo/fYfZ/lzL5u55q+gjQ==" saltValue="yGyl8M0/x32r4H3VfLcM2A==" spinCount="100000" sheet="1" objects="1" scenarios="1"/>
  <protectedRanges>
    <protectedRange sqref="C2:C6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73CA8-00D2-4724-A9DB-8CE72A9B7EAB}">
  <sheetPr codeName="Tabelle16"/>
  <dimension ref="A1:D8"/>
  <sheetViews>
    <sheetView workbookViewId="0">
      <selection activeCell="C4" sqref="C4"/>
    </sheetView>
  </sheetViews>
  <sheetFormatPr baseColWidth="10" defaultRowHeight="13.8" x14ac:dyDescent="0.25"/>
  <cols>
    <col min="1" max="1" width="18.69921875" bestFit="1" customWidth="1"/>
    <col min="2" max="2" width="10.5" bestFit="1" customWidth="1"/>
    <col min="3" max="3" width="16" bestFit="1" customWidth="1"/>
  </cols>
  <sheetData>
    <row r="1" spans="1:4" x14ac:dyDescent="0.25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5">
      <c r="A2" t="s">
        <v>100</v>
      </c>
      <c r="B2" s="52">
        <v>45765</v>
      </c>
      <c r="C2" s="58">
        <v>0.72499999999999998</v>
      </c>
      <c r="D2" s="58">
        <v>0.02</v>
      </c>
    </row>
    <row r="3" spans="1:4" x14ac:dyDescent="0.25">
      <c r="A3" t="s">
        <v>101</v>
      </c>
      <c r="B3" s="52">
        <v>45772</v>
      </c>
      <c r="C3" s="58">
        <v>0.4012</v>
      </c>
      <c r="D3" s="58">
        <v>0.02</v>
      </c>
    </row>
    <row r="4" spans="1:4" x14ac:dyDescent="0.25">
      <c r="A4" t="s">
        <v>102</v>
      </c>
      <c r="B4" s="52">
        <v>45779</v>
      </c>
      <c r="C4" s="58">
        <v>7.2700000000000001E-2</v>
      </c>
      <c r="D4" s="58">
        <v>0.02</v>
      </c>
    </row>
    <row r="5" spans="1:4" x14ac:dyDescent="0.25">
      <c r="A5" t="s">
        <v>103</v>
      </c>
      <c r="B5" s="52">
        <v>45786</v>
      </c>
      <c r="C5" s="58">
        <v>4.208955223880597E-2</v>
      </c>
      <c r="D5" s="58">
        <v>0.02</v>
      </c>
    </row>
    <row r="6" spans="1:4" x14ac:dyDescent="0.25">
      <c r="B6" s="52"/>
      <c r="C6" s="57"/>
      <c r="D6" s="58"/>
    </row>
    <row r="7" spans="1:4" x14ac:dyDescent="0.25">
      <c r="B7" s="52"/>
      <c r="C7" s="57"/>
      <c r="D7" s="58"/>
    </row>
    <row r="8" spans="1:4" x14ac:dyDescent="0.25">
      <c r="B8" s="52"/>
      <c r="C8" s="57"/>
      <c r="D8" s="58"/>
    </row>
  </sheetData>
  <sheetProtection algorithmName="SHA-512" hashValue="AHP/uMC6/eZHpq9gtXWmYdGJ3ODlVFFMQj12b1Yw2ehm6SpQACtzqGbrh7OJLIjCqi3aeH7PlHdha8Hc9IR5lQ==" saltValue="/Xq9HgGQr7KrFFm2tQPq+A==" spinCount="100000" sheet="1" objects="1" scenarios="1"/>
  <protectedRanges>
    <protectedRange sqref="C2:C8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A300F-CDF1-42F7-863A-877099F3120D}">
  <sheetPr codeName="Tabelle17"/>
  <dimension ref="A1:D6"/>
  <sheetViews>
    <sheetView workbookViewId="0">
      <selection activeCell="B5" sqref="B5"/>
    </sheetView>
  </sheetViews>
  <sheetFormatPr baseColWidth="10" defaultRowHeight="13.8" x14ac:dyDescent="0.25"/>
  <cols>
    <col min="1" max="1" width="18.69921875" bestFit="1" customWidth="1"/>
    <col min="2" max="2" width="10.5" bestFit="1" customWidth="1"/>
    <col min="3" max="3" width="16" bestFit="1" customWidth="1"/>
  </cols>
  <sheetData>
    <row r="1" spans="1:4" x14ac:dyDescent="0.25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5">
      <c r="A2" t="s">
        <v>102</v>
      </c>
      <c r="B2" s="52">
        <v>45779</v>
      </c>
      <c r="C2" s="58">
        <v>0.77769999999999995</v>
      </c>
      <c r="D2" s="58">
        <v>0.02</v>
      </c>
    </row>
    <row r="3" spans="1:4" x14ac:dyDescent="0.25">
      <c r="A3" t="s">
        <v>103</v>
      </c>
      <c r="B3" s="52">
        <v>45786</v>
      </c>
      <c r="C3" s="58">
        <v>0.24064432150992515</v>
      </c>
      <c r="D3" s="58">
        <v>0.02</v>
      </c>
    </row>
    <row r="4" spans="1:4" x14ac:dyDescent="0.25">
      <c r="A4" t="s">
        <v>104</v>
      </c>
      <c r="B4" s="52">
        <v>45793</v>
      </c>
      <c r="C4" s="58">
        <v>5.8249267816465992E-2</v>
      </c>
      <c r="D4" s="58">
        <v>0.02</v>
      </c>
    </row>
    <row r="5" spans="1:4" x14ac:dyDescent="0.25">
      <c r="A5" t="s">
        <v>105</v>
      </c>
      <c r="B5" s="52">
        <v>45800</v>
      </c>
      <c r="C5" s="58">
        <v>3.9781972014318254E-2</v>
      </c>
      <c r="D5" s="58">
        <v>0.02</v>
      </c>
    </row>
    <row r="6" spans="1:4" x14ac:dyDescent="0.25">
      <c r="B6" s="52"/>
      <c r="C6" s="58"/>
      <c r="D6" s="58"/>
    </row>
  </sheetData>
  <sheetProtection algorithmName="SHA-512" hashValue="FVHDd+0xJb9C4lXUyqwY+gyoxSx2WzH6noZUZ0W/XY+vYV2EuizqIlyR9n7vqTHI9RgWzK0J1elwBSUublQxLw==" saltValue="YNc3F1fWD0XyEgWd7RhMBQ==" spinCount="100000" sheet="1" objects="1" scenarios="1"/>
  <protectedRanges>
    <protectedRange sqref="C2:C6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B69AD-430C-412A-89EC-DDE3BCAEC65F}">
  <sheetPr codeName="Tabelle18"/>
  <dimension ref="A1:D8"/>
  <sheetViews>
    <sheetView workbookViewId="0">
      <selection activeCell="A8" sqref="A8"/>
    </sheetView>
  </sheetViews>
  <sheetFormatPr baseColWidth="10" defaultRowHeight="13.8" x14ac:dyDescent="0.25"/>
  <cols>
    <col min="1" max="1" width="18.69921875" bestFit="1" customWidth="1"/>
    <col min="2" max="2" width="10.5" bestFit="1" customWidth="1"/>
    <col min="3" max="3" width="16" bestFit="1" customWidth="1"/>
  </cols>
  <sheetData>
    <row r="1" spans="1:4" x14ac:dyDescent="0.25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5">
      <c r="A2" t="s">
        <v>104</v>
      </c>
      <c r="B2" s="52">
        <v>45793</v>
      </c>
      <c r="C2" s="58">
        <v>0.52019785655399831</v>
      </c>
      <c r="D2" s="36">
        <v>0.02</v>
      </c>
    </row>
    <row r="3" spans="1:4" x14ac:dyDescent="0.25">
      <c r="A3" t="s">
        <v>105</v>
      </c>
      <c r="B3" s="52">
        <v>45800</v>
      </c>
      <c r="C3" s="58">
        <v>0.22606943299441237</v>
      </c>
      <c r="D3" s="36">
        <v>0.02</v>
      </c>
    </row>
    <row r="4" spans="1:4" x14ac:dyDescent="0.25">
      <c r="A4" t="s">
        <v>106</v>
      </c>
      <c r="B4" s="52">
        <v>45807</v>
      </c>
      <c r="C4" s="58">
        <v>0.19139999999999999</v>
      </c>
      <c r="D4" s="36">
        <v>0.02</v>
      </c>
    </row>
    <row r="5" spans="1:4" x14ac:dyDescent="0.25">
      <c r="A5" t="s">
        <v>107</v>
      </c>
      <c r="B5" s="52">
        <v>45814</v>
      </c>
      <c r="C5" s="58">
        <v>8.3500000000000005E-2</v>
      </c>
      <c r="D5" s="36">
        <v>0.02</v>
      </c>
    </row>
    <row r="6" spans="1:4" x14ac:dyDescent="0.25">
      <c r="A6" t="s">
        <v>108</v>
      </c>
      <c r="B6" s="52">
        <v>45821</v>
      </c>
      <c r="C6" s="58">
        <v>6.9000000000000006E-2</v>
      </c>
      <c r="D6" s="36">
        <v>0.02</v>
      </c>
    </row>
    <row r="7" spans="1:4" x14ac:dyDescent="0.25">
      <c r="A7" t="s">
        <v>109</v>
      </c>
      <c r="B7" s="52">
        <v>45825</v>
      </c>
      <c r="C7" s="58">
        <v>4.584592836859943E-2</v>
      </c>
      <c r="D7" s="36">
        <v>0.02</v>
      </c>
    </row>
    <row r="8" spans="1:4" x14ac:dyDescent="0.25">
      <c r="B8" s="52"/>
      <c r="C8" s="58"/>
      <c r="D8" s="36"/>
    </row>
  </sheetData>
  <sheetProtection algorithmName="SHA-512" hashValue="o9b2AZWMHMB9dFuVjI+979ftdDDbPwUfamlhLaq6/m5iOwLFIYhtPLzV9STx3e8TlZc6BIIuCaIW1lI/AKljkg==" saltValue="xDB5DfFHsI7dCRh6pEyGZQ==" spinCount="100000" sheet="1" objects="1" scenarios="1"/>
  <protectedRanges>
    <protectedRange sqref="C2:C8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FBC61-6F61-4B44-9645-4ADC8B5E217D}">
  <sheetPr codeName="Tabelle19"/>
  <dimension ref="A1:D6"/>
  <sheetViews>
    <sheetView workbookViewId="0">
      <selection activeCell="C29" sqref="C29"/>
    </sheetView>
  </sheetViews>
  <sheetFormatPr baseColWidth="10" defaultRowHeight="13.8" x14ac:dyDescent="0.25"/>
  <cols>
    <col min="1" max="1" width="18.69921875" bestFit="1" customWidth="1"/>
    <col min="2" max="2" width="10.5" bestFit="1" customWidth="1"/>
    <col min="3" max="3" width="16" bestFit="1" customWidth="1"/>
  </cols>
  <sheetData>
    <row r="1" spans="1:4" x14ac:dyDescent="0.25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5">
      <c r="A2" t="s">
        <v>104</v>
      </c>
      <c r="B2" s="52">
        <v>45793</v>
      </c>
      <c r="C2" s="58">
        <v>0.27777777777777779</v>
      </c>
      <c r="D2" s="58">
        <v>0.02</v>
      </c>
    </row>
    <row r="3" spans="1:4" x14ac:dyDescent="0.25">
      <c r="A3" t="s">
        <v>105</v>
      </c>
      <c r="B3" s="52">
        <v>45800</v>
      </c>
      <c r="C3" s="58">
        <v>0.24305555555555555</v>
      </c>
      <c r="D3" s="58">
        <v>0.02</v>
      </c>
    </row>
    <row r="4" spans="1:4" x14ac:dyDescent="0.25">
      <c r="A4" t="s">
        <v>106</v>
      </c>
      <c r="B4" s="52">
        <v>45807</v>
      </c>
      <c r="C4" s="58">
        <v>0.2387</v>
      </c>
      <c r="D4" s="58">
        <v>0.02</v>
      </c>
    </row>
    <row r="5" spans="1:4" x14ac:dyDescent="0.25">
      <c r="A5" t="s">
        <v>107</v>
      </c>
      <c r="B5" s="52">
        <v>45811</v>
      </c>
      <c r="C5" s="58">
        <v>0.2135</v>
      </c>
      <c r="D5" s="58">
        <v>0.02</v>
      </c>
    </row>
    <row r="6" spans="1:4" x14ac:dyDescent="0.25">
      <c r="A6" t="s">
        <v>108</v>
      </c>
      <c r="B6" s="52">
        <v>45821</v>
      </c>
      <c r="C6" s="58">
        <v>0.2013888888888889</v>
      </c>
      <c r="D6" s="58">
        <v>0.02</v>
      </c>
    </row>
  </sheetData>
  <sheetProtection algorithmName="SHA-512" hashValue="s01+mgEpZyF9QIs94deH5KX7FMeL7ylUry6whZRSfIglTCNpVopfXQkjkI2MIEH3y1FIG8foeOj9m1j3/09fbQ==" saltValue="i4ZVwWrdlovesjF0a4krng==" spinCount="100000" sheet="1" objects="1" scenarios="1"/>
  <protectedRanges>
    <protectedRange sqref="C2:C6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0D17F-6772-4ACE-886F-891B3CA6CA64}">
  <sheetPr codeName="Tabelle20"/>
  <dimension ref="A1:D7"/>
  <sheetViews>
    <sheetView workbookViewId="0">
      <selection activeCell="C16" sqref="C16"/>
    </sheetView>
  </sheetViews>
  <sheetFormatPr baseColWidth="10" defaultRowHeight="13.8" x14ac:dyDescent="0.25"/>
  <cols>
    <col min="1" max="1" width="18.69921875" bestFit="1" customWidth="1"/>
    <col min="2" max="2" width="10.5" bestFit="1" customWidth="1"/>
    <col min="3" max="3" width="16" bestFit="1" customWidth="1"/>
  </cols>
  <sheetData>
    <row r="1" spans="1:4" x14ac:dyDescent="0.25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5">
      <c r="A2" t="s">
        <v>107</v>
      </c>
      <c r="B2" s="52">
        <v>45814</v>
      </c>
      <c r="C2" s="58">
        <v>0.26190000000000002</v>
      </c>
      <c r="D2" s="36">
        <v>0.02</v>
      </c>
    </row>
    <row r="3" spans="1:4" x14ac:dyDescent="0.25">
      <c r="A3" t="s">
        <v>108</v>
      </c>
      <c r="B3" s="52">
        <v>45821</v>
      </c>
      <c r="C3" s="58">
        <v>0.2382</v>
      </c>
      <c r="D3" s="36">
        <v>0.02</v>
      </c>
    </row>
    <row r="4" spans="1:4" x14ac:dyDescent="0.25">
      <c r="A4" t="s">
        <v>109</v>
      </c>
      <c r="B4" s="52">
        <v>45828</v>
      </c>
      <c r="C4" s="58">
        <v>0.12870000000000001</v>
      </c>
      <c r="D4" s="36">
        <v>0.02</v>
      </c>
    </row>
    <row r="5" spans="1:4" x14ac:dyDescent="0.25">
      <c r="A5" t="s">
        <v>110</v>
      </c>
      <c r="B5" s="52">
        <v>45835</v>
      </c>
      <c r="C5" s="58">
        <v>6.4064474268346827E-2</v>
      </c>
      <c r="D5" s="36">
        <v>0.02</v>
      </c>
    </row>
    <row r="6" spans="1:4" x14ac:dyDescent="0.25">
      <c r="A6" t="s">
        <v>111</v>
      </c>
      <c r="B6" s="52">
        <v>45841</v>
      </c>
      <c r="C6" s="58">
        <v>4.005737117098658E-2</v>
      </c>
      <c r="D6" s="36">
        <v>0.02</v>
      </c>
    </row>
    <row r="7" spans="1:4" x14ac:dyDescent="0.25">
      <c r="B7" s="52"/>
      <c r="C7" s="58"/>
      <c r="D7" s="36"/>
    </row>
  </sheetData>
  <sheetProtection algorithmName="SHA-512" hashValue="61DU1W6Xyz4Iz3Qqw08iIzeO/RTaElYCgKlytbn37ypUrLrGSaTkqDONiXAhY+CgInsKMYSBHwe5A/FH1oHtMw==" saltValue="Z+vzKUFFBcLRbqkhowJ/4Q==" spinCount="100000" sheet="1" objects="1" scenarios="1"/>
  <protectedRanges>
    <protectedRange sqref="C2:C7" name="Schätzquote"/>
  </protectedRanges>
  <pageMargins left="0.7" right="0.7" top="0.78740157499999996" bottom="0.78740157499999996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724CA-D2F7-4946-A828-BA663FCAF1B8}">
  <sheetPr codeName="Tabelle22"/>
  <dimension ref="A1:D5"/>
  <sheetViews>
    <sheetView workbookViewId="0">
      <selection activeCell="C8" sqref="C8"/>
    </sheetView>
  </sheetViews>
  <sheetFormatPr baseColWidth="10" defaultRowHeight="13.8" x14ac:dyDescent="0.25"/>
  <cols>
    <col min="1" max="1" width="18.69921875" bestFit="1" customWidth="1"/>
    <col min="2" max="2" width="10.5" bestFit="1" customWidth="1"/>
    <col min="3" max="3" width="16" bestFit="1" customWidth="1"/>
  </cols>
  <sheetData>
    <row r="1" spans="1:4" x14ac:dyDescent="0.25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5">
      <c r="A2" t="s">
        <v>112</v>
      </c>
      <c r="B2" s="52">
        <v>45863</v>
      </c>
      <c r="C2" s="58">
        <v>0.83320000000000005</v>
      </c>
      <c r="D2" s="36">
        <v>0.02</v>
      </c>
    </row>
    <row r="3" spans="1:4" x14ac:dyDescent="0.25">
      <c r="A3" t="s">
        <v>113</v>
      </c>
      <c r="B3" s="52">
        <v>45870</v>
      </c>
      <c r="C3" s="58">
        <v>0.35139999999999999</v>
      </c>
      <c r="D3" s="36">
        <v>0.02</v>
      </c>
    </row>
    <row r="4" spans="1:4" x14ac:dyDescent="0.25">
      <c r="A4" t="s">
        <v>114</v>
      </c>
      <c r="B4" s="52">
        <v>45877</v>
      </c>
      <c r="C4" s="58">
        <v>0.13286713286713286</v>
      </c>
      <c r="D4" s="36">
        <v>0.02</v>
      </c>
    </row>
    <row r="5" spans="1:4" x14ac:dyDescent="0.25">
      <c r="A5" t="s">
        <v>115</v>
      </c>
      <c r="B5" s="52">
        <v>45884</v>
      </c>
      <c r="C5" s="58">
        <v>7.3076923076923081E-2</v>
      </c>
      <c r="D5" s="36">
        <v>0.02</v>
      </c>
    </row>
  </sheetData>
  <protectedRanges>
    <protectedRange sqref="C2:C4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04EA8-97D5-4572-86B1-60073ABF6378}">
  <sheetPr codeName="Tabelle23"/>
  <dimension ref="A1:D7"/>
  <sheetViews>
    <sheetView workbookViewId="0">
      <selection activeCell="C4" sqref="C4"/>
    </sheetView>
  </sheetViews>
  <sheetFormatPr baseColWidth="10" defaultRowHeight="13.8" x14ac:dyDescent="0.25"/>
  <cols>
    <col min="1" max="1" width="18.69921875" bestFit="1" customWidth="1"/>
    <col min="2" max="2" width="10.5" bestFit="1" customWidth="1"/>
    <col min="3" max="3" width="16" bestFit="1" customWidth="1"/>
  </cols>
  <sheetData>
    <row r="1" spans="1:4" x14ac:dyDescent="0.25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5">
      <c r="A2" t="s">
        <v>112</v>
      </c>
      <c r="B2" s="52">
        <v>45863</v>
      </c>
      <c r="C2" s="58">
        <v>0.93269999999999997</v>
      </c>
      <c r="D2" s="36">
        <v>0.02</v>
      </c>
    </row>
    <row r="3" spans="1:4" x14ac:dyDescent="0.25">
      <c r="A3" t="s">
        <v>113</v>
      </c>
      <c r="B3" s="52">
        <v>45870</v>
      </c>
      <c r="C3" s="58">
        <v>0.52110000000000001</v>
      </c>
      <c r="D3" s="36">
        <v>0.02</v>
      </c>
    </row>
    <row r="4" spans="1:4" x14ac:dyDescent="0.25">
      <c r="A4" t="s">
        <v>114</v>
      </c>
      <c r="B4" s="52">
        <v>45877</v>
      </c>
      <c r="C4" s="58">
        <v>0.20998369058713887</v>
      </c>
      <c r="D4" s="36">
        <v>0.02</v>
      </c>
    </row>
    <row r="5" spans="1:4" x14ac:dyDescent="0.25">
      <c r="A5" t="s">
        <v>115</v>
      </c>
      <c r="B5" s="52">
        <v>45884</v>
      </c>
      <c r="C5" s="58">
        <v>0.14690121155638397</v>
      </c>
      <c r="D5" s="36">
        <v>0.02</v>
      </c>
    </row>
    <row r="6" spans="1:4" x14ac:dyDescent="0.25">
      <c r="A6" t="s">
        <v>116</v>
      </c>
      <c r="B6" s="52">
        <v>45891</v>
      </c>
      <c r="C6" s="58"/>
      <c r="D6" s="36">
        <v>0.02</v>
      </c>
    </row>
    <row r="7" spans="1:4" x14ac:dyDescent="0.25">
      <c r="A7" t="s">
        <v>117</v>
      </c>
      <c r="B7" s="52">
        <v>45898</v>
      </c>
      <c r="C7" s="58"/>
      <c r="D7" s="36">
        <v>0.02</v>
      </c>
    </row>
  </sheetData>
  <protectedRanges>
    <protectedRange sqref="C2:C6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98FD7-C936-481E-BA10-732B2A26E69B}">
  <sheetPr codeName="Tabelle24"/>
  <dimension ref="A1:D7"/>
  <sheetViews>
    <sheetView workbookViewId="0">
      <selection activeCell="C22" sqref="C22"/>
    </sheetView>
  </sheetViews>
  <sheetFormatPr baseColWidth="10" defaultRowHeight="13.8" x14ac:dyDescent="0.25"/>
  <cols>
    <col min="1" max="1" width="18.69921875" bestFit="1" customWidth="1"/>
    <col min="2" max="2" width="10.5" bestFit="1" customWidth="1"/>
    <col min="3" max="3" width="16" bestFit="1" customWidth="1"/>
  </cols>
  <sheetData>
    <row r="1" spans="1:4" x14ac:dyDescent="0.25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5">
      <c r="A2" t="s">
        <v>115</v>
      </c>
      <c r="B2" s="52">
        <v>45884</v>
      </c>
      <c r="C2" s="58">
        <v>0.4991692380726323</v>
      </c>
      <c r="D2" s="36">
        <v>0.02</v>
      </c>
    </row>
    <row r="3" spans="1:4" x14ac:dyDescent="0.25">
      <c r="A3" t="s">
        <v>116</v>
      </c>
      <c r="B3" s="52">
        <v>45891</v>
      </c>
      <c r="C3" s="58"/>
      <c r="D3" s="36">
        <v>0.02</v>
      </c>
    </row>
    <row r="4" spans="1:4" x14ac:dyDescent="0.25">
      <c r="A4" t="s">
        <v>117</v>
      </c>
      <c r="B4" s="52">
        <v>45898</v>
      </c>
      <c r="C4" s="58"/>
      <c r="D4" s="36">
        <v>0.02</v>
      </c>
    </row>
    <row r="5" spans="1:4" x14ac:dyDescent="0.25">
      <c r="A5" t="s">
        <v>118</v>
      </c>
      <c r="B5" s="52">
        <v>45905</v>
      </c>
      <c r="C5" s="58"/>
      <c r="D5" s="36">
        <v>0.02</v>
      </c>
    </row>
    <row r="6" spans="1:4" x14ac:dyDescent="0.25">
      <c r="A6" t="s">
        <v>119</v>
      </c>
      <c r="B6" s="52">
        <v>45912</v>
      </c>
      <c r="C6" s="58"/>
      <c r="D6" s="36">
        <v>0.02</v>
      </c>
    </row>
    <row r="7" spans="1:4" x14ac:dyDescent="0.25">
      <c r="A7" t="s">
        <v>120</v>
      </c>
      <c r="B7" s="52">
        <v>45917</v>
      </c>
      <c r="C7" s="58"/>
      <c r="D7" s="36">
        <v>0.02</v>
      </c>
    </row>
  </sheetData>
  <protectedRanges>
    <protectedRange sqref="C2:C6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D8511-52BD-4054-BD4B-44E60AE0C82A}">
  <sheetPr codeName="Tabelle25"/>
  <dimension ref="A1:D9"/>
  <sheetViews>
    <sheetView workbookViewId="0">
      <selection activeCell="C12" sqref="C12"/>
    </sheetView>
  </sheetViews>
  <sheetFormatPr baseColWidth="10" defaultRowHeight="13.8" x14ac:dyDescent="0.25"/>
  <cols>
    <col min="1" max="1" width="18.69921875" bestFit="1" customWidth="1"/>
    <col min="2" max="2" width="10.5" bestFit="1" customWidth="1"/>
    <col min="3" max="3" width="16" bestFit="1" customWidth="1"/>
  </cols>
  <sheetData>
    <row r="1" spans="1:4" x14ac:dyDescent="0.25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5">
      <c r="A2" t="s">
        <v>116</v>
      </c>
      <c r="B2" s="52">
        <v>45891</v>
      </c>
      <c r="C2" s="58"/>
      <c r="D2" s="36">
        <v>0.02</v>
      </c>
    </row>
    <row r="3" spans="1:4" x14ac:dyDescent="0.25">
      <c r="A3" t="s">
        <v>117</v>
      </c>
      <c r="B3" s="52">
        <v>45898</v>
      </c>
      <c r="C3" s="58"/>
      <c r="D3" s="36">
        <v>0.02</v>
      </c>
    </row>
    <row r="4" spans="1:4" x14ac:dyDescent="0.25">
      <c r="A4" t="s">
        <v>118</v>
      </c>
      <c r="B4" s="52">
        <v>45905</v>
      </c>
      <c r="C4" s="58"/>
      <c r="D4" s="36">
        <v>0.02</v>
      </c>
    </row>
    <row r="5" spans="1:4" x14ac:dyDescent="0.25">
      <c r="A5" t="s">
        <v>119</v>
      </c>
      <c r="B5" s="52">
        <v>45912</v>
      </c>
      <c r="C5" s="58"/>
      <c r="D5" s="36">
        <v>0.02</v>
      </c>
    </row>
    <row r="6" spans="1:4" x14ac:dyDescent="0.25">
      <c r="A6" t="s">
        <v>120</v>
      </c>
      <c r="B6" s="52">
        <v>45919</v>
      </c>
      <c r="C6" s="58"/>
      <c r="D6" s="36">
        <v>0.02</v>
      </c>
    </row>
    <row r="7" spans="1:4" x14ac:dyDescent="0.25">
      <c r="A7" t="s">
        <v>121</v>
      </c>
      <c r="B7" s="52">
        <v>45926</v>
      </c>
      <c r="C7" s="58"/>
      <c r="D7" s="36">
        <v>0.02</v>
      </c>
    </row>
    <row r="8" spans="1:4" x14ac:dyDescent="0.25">
      <c r="A8" t="s">
        <v>122</v>
      </c>
      <c r="B8" s="52">
        <v>45932</v>
      </c>
      <c r="C8" s="58"/>
      <c r="D8" s="36">
        <v>0.02</v>
      </c>
    </row>
    <row r="9" spans="1:4" x14ac:dyDescent="0.25">
      <c r="B9" s="52"/>
      <c r="C9" s="58"/>
      <c r="D9" s="36"/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4147A-2E04-49B1-9784-7EA378BFFA1A}">
  <sheetPr codeName="Tabelle26"/>
  <dimension ref="A1:D8"/>
  <sheetViews>
    <sheetView workbookViewId="0">
      <selection activeCell="C11" sqref="C11"/>
    </sheetView>
  </sheetViews>
  <sheetFormatPr baseColWidth="10" defaultRowHeight="13.8" x14ac:dyDescent="0.25"/>
  <cols>
    <col min="1" max="1" width="18.69921875" bestFit="1" customWidth="1"/>
    <col min="2" max="2" width="10.5" bestFit="1" customWidth="1"/>
    <col min="3" max="3" width="16" bestFit="1" customWidth="1"/>
  </cols>
  <sheetData>
    <row r="1" spans="1:4" x14ac:dyDescent="0.25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5">
      <c r="A2" t="s">
        <v>119</v>
      </c>
      <c r="B2" s="52">
        <v>45912</v>
      </c>
      <c r="C2" s="58"/>
      <c r="D2" s="36">
        <v>0.02</v>
      </c>
    </row>
    <row r="3" spans="1:4" x14ac:dyDescent="0.25">
      <c r="A3" t="s">
        <v>120</v>
      </c>
      <c r="B3" s="52">
        <v>45919</v>
      </c>
      <c r="C3" s="58"/>
      <c r="D3" s="36">
        <v>0.02</v>
      </c>
    </row>
    <row r="4" spans="1:4" x14ac:dyDescent="0.25">
      <c r="A4" t="s">
        <v>121</v>
      </c>
      <c r="B4" s="52">
        <v>45926</v>
      </c>
      <c r="C4" s="58"/>
      <c r="D4" s="36">
        <v>0.02</v>
      </c>
    </row>
    <row r="5" spans="1:4" x14ac:dyDescent="0.25">
      <c r="A5" t="s">
        <v>122</v>
      </c>
      <c r="B5" s="52">
        <v>45932</v>
      </c>
      <c r="C5" s="58"/>
      <c r="D5" s="36">
        <v>0.02</v>
      </c>
    </row>
    <row r="6" spans="1:4" x14ac:dyDescent="0.25">
      <c r="A6" t="s">
        <v>123</v>
      </c>
      <c r="B6" s="52">
        <v>45940</v>
      </c>
      <c r="C6" s="58"/>
      <c r="D6" s="36">
        <v>0.02</v>
      </c>
    </row>
    <row r="7" spans="1:4" x14ac:dyDescent="0.25">
      <c r="A7" t="s">
        <v>124</v>
      </c>
      <c r="B7" s="52">
        <v>45946</v>
      </c>
      <c r="C7" s="58"/>
      <c r="D7" s="36">
        <v>0.02</v>
      </c>
    </row>
    <row r="8" spans="1:4" x14ac:dyDescent="0.25">
      <c r="B8" s="52"/>
      <c r="C8" s="58"/>
      <c r="D8" s="36"/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89FF8-F084-4774-9EB2-48AA02F54DE2}">
  <sheetPr codeName="Tabelle27"/>
  <dimension ref="A1:D9"/>
  <sheetViews>
    <sheetView workbookViewId="0">
      <selection activeCell="D10" sqref="D10"/>
    </sheetView>
  </sheetViews>
  <sheetFormatPr baseColWidth="10" defaultRowHeight="13.8" x14ac:dyDescent="0.25"/>
  <cols>
    <col min="1" max="1" width="18.69921875" bestFit="1" customWidth="1"/>
    <col min="2" max="2" width="10.5" bestFit="1" customWidth="1"/>
    <col min="3" max="3" width="16" bestFit="1" customWidth="1"/>
  </cols>
  <sheetData>
    <row r="1" spans="1:4" x14ac:dyDescent="0.25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5">
      <c r="A2" t="s">
        <v>120</v>
      </c>
      <c r="B2" s="52">
        <v>45919</v>
      </c>
      <c r="C2" s="58"/>
      <c r="D2" s="36">
        <v>0.02</v>
      </c>
    </row>
    <row r="3" spans="1:4" x14ac:dyDescent="0.25">
      <c r="A3" t="s">
        <v>121</v>
      </c>
      <c r="B3" s="52">
        <v>45926</v>
      </c>
      <c r="C3" s="58"/>
      <c r="D3" s="36">
        <v>0.02</v>
      </c>
    </row>
    <row r="4" spans="1:4" x14ac:dyDescent="0.25">
      <c r="A4" t="s">
        <v>122</v>
      </c>
      <c r="B4" s="52">
        <v>45932</v>
      </c>
      <c r="C4" s="58"/>
      <c r="D4" s="36">
        <v>0.02</v>
      </c>
    </row>
    <row r="5" spans="1:4" x14ac:dyDescent="0.25">
      <c r="A5" t="s">
        <v>123</v>
      </c>
      <c r="B5" s="52">
        <v>45940</v>
      </c>
      <c r="C5" s="58"/>
      <c r="D5" s="36">
        <v>0.02</v>
      </c>
    </row>
    <row r="6" spans="1:4" x14ac:dyDescent="0.25">
      <c r="A6" t="s">
        <v>124</v>
      </c>
      <c r="B6" s="52">
        <v>45947</v>
      </c>
      <c r="C6" s="58"/>
      <c r="D6" s="36">
        <v>0.02</v>
      </c>
    </row>
    <row r="7" spans="1:4" x14ac:dyDescent="0.25">
      <c r="A7" t="s">
        <v>125</v>
      </c>
      <c r="B7" s="52">
        <v>45954</v>
      </c>
      <c r="C7" s="58"/>
      <c r="D7" s="36">
        <v>0.02</v>
      </c>
    </row>
    <row r="8" spans="1:4" x14ac:dyDescent="0.25">
      <c r="A8" t="s">
        <v>126</v>
      </c>
      <c r="B8" s="52">
        <v>45961</v>
      </c>
      <c r="C8" s="58"/>
      <c r="D8" s="36">
        <v>0.02</v>
      </c>
    </row>
    <row r="9" spans="1:4" x14ac:dyDescent="0.25">
      <c r="A9" t="s">
        <v>127</v>
      </c>
      <c r="B9" s="52">
        <v>45964</v>
      </c>
      <c r="C9" s="58"/>
      <c r="D9" s="36">
        <v>0.02</v>
      </c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2D415-884F-4856-AC2A-F51B12634634}">
  <sheetPr codeName="Tabelle28"/>
  <dimension ref="A1:D8"/>
  <sheetViews>
    <sheetView workbookViewId="0">
      <selection activeCell="C12" sqref="C12"/>
    </sheetView>
  </sheetViews>
  <sheetFormatPr baseColWidth="10" defaultRowHeight="13.8" x14ac:dyDescent="0.25"/>
  <cols>
    <col min="1" max="1" width="18.69921875" bestFit="1" customWidth="1"/>
    <col min="2" max="2" width="10.5" bestFit="1" customWidth="1"/>
    <col min="3" max="3" width="16" bestFit="1" customWidth="1"/>
  </cols>
  <sheetData>
    <row r="1" spans="1:4" x14ac:dyDescent="0.25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5">
      <c r="A2" t="s">
        <v>122</v>
      </c>
      <c r="B2" s="52">
        <v>45932</v>
      </c>
      <c r="C2" s="58"/>
      <c r="D2" s="36">
        <v>0.02</v>
      </c>
    </row>
    <row r="3" spans="1:4" x14ac:dyDescent="0.25">
      <c r="A3" t="s">
        <v>123</v>
      </c>
      <c r="B3" s="52">
        <v>45940</v>
      </c>
      <c r="C3" s="58"/>
      <c r="D3" s="36">
        <v>0.02</v>
      </c>
    </row>
    <row r="4" spans="1:4" x14ac:dyDescent="0.25">
      <c r="A4" t="s">
        <v>124</v>
      </c>
      <c r="B4" s="52">
        <v>45947</v>
      </c>
      <c r="C4" s="58"/>
      <c r="D4" s="36">
        <v>0.02</v>
      </c>
    </row>
    <row r="5" spans="1:4" x14ac:dyDescent="0.25">
      <c r="A5" t="s">
        <v>125</v>
      </c>
      <c r="B5" s="52">
        <v>45954</v>
      </c>
      <c r="C5" s="58"/>
      <c r="D5" s="36">
        <v>0.02</v>
      </c>
    </row>
    <row r="6" spans="1:4" x14ac:dyDescent="0.25">
      <c r="A6" t="s">
        <v>126</v>
      </c>
      <c r="B6" s="52">
        <v>45961</v>
      </c>
      <c r="C6" s="58"/>
      <c r="D6" s="36">
        <v>0.02</v>
      </c>
    </row>
    <row r="7" spans="1:4" x14ac:dyDescent="0.25">
      <c r="A7" t="s">
        <v>127</v>
      </c>
      <c r="B7" s="52">
        <v>45967</v>
      </c>
      <c r="C7" s="58"/>
      <c r="D7" s="36">
        <v>0.02</v>
      </c>
    </row>
    <row r="8" spans="1:4" x14ac:dyDescent="0.25">
      <c r="B8" s="52"/>
      <c r="C8" s="58"/>
      <c r="D8" s="36"/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0FDA4-2EE7-4236-8EF4-31E923AD8401}">
  <sheetPr codeName="Tabelle29"/>
  <dimension ref="A1:D8"/>
  <sheetViews>
    <sheetView workbookViewId="0">
      <selection activeCell="C12" sqref="C12"/>
    </sheetView>
  </sheetViews>
  <sheetFormatPr baseColWidth="10" defaultRowHeight="13.8" x14ac:dyDescent="0.25"/>
  <cols>
    <col min="1" max="1" width="18.69921875" bestFit="1" customWidth="1"/>
    <col min="2" max="2" width="10.5" bestFit="1" customWidth="1"/>
    <col min="3" max="3" width="16" bestFit="1" customWidth="1"/>
  </cols>
  <sheetData>
    <row r="1" spans="1:4" x14ac:dyDescent="0.25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5">
      <c r="A2" t="s">
        <v>124</v>
      </c>
      <c r="B2" s="52">
        <v>45947</v>
      </c>
      <c r="C2" s="58"/>
      <c r="D2" s="36">
        <v>0.02</v>
      </c>
    </row>
    <row r="3" spans="1:4" x14ac:dyDescent="0.25">
      <c r="A3" t="s">
        <v>125</v>
      </c>
      <c r="B3" s="52">
        <v>45954</v>
      </c>
      <c r="C3" s="58"/>
      <c r="D3" s="36">
        <v>0.02</v>
      </c>
    </row>
    <row r="4" spans="1:4" x14ac:dyDescent="0.25">
      <c r="A4" t="s">
        <v>126</v>
      </c>
      <c r="B4" s="52">
        <v>45961</v>
      </c>
      <c r="C4" s="58"/>
      <c r="D4" s="36">
        <v>0.02</v>
      </c>
    </row>
    <row r="5" spans="1:4" x14ac:dyDescent="0.25">
      <c r="A5" t="s">
        <v>127</v>
      </c>
      <c r="B5" s="52">
        <v>45968</v>
      </c>
      <c r="C5" s="58"/>
      <c r="D5" s="36">
        <v>0.02</v>
      </c>
    </row>
    <row r="6" spans="1:4" x14ac:dyDescent="0.25">
      <c r="A6" t="s">
        <v>128</v>
      </c>
      <c r="B6" s="52">
        <v>45975</v>
      </c>
      <c r="C6" s="58"/>
      <c r="D6" s="36">
        <v>0.02</v>
      </c>
    </row>
    <row r="7" spans="1:4" x14ac:dyDescent="0.25">
      <c r="A7" t="s">
        <v>129</v>
      </c>
      <c r="B7" s="52">
        <v>45981</v>
      </c>
      <c r="C7" s="58"/>
      <c r="D7" s="36">
        <v>0.02</v>
      </c>
    </row>
    <row r="8" spans="1:4" x14ac:dyDescent="0.25">
      <c r="B8" s="52"/>
      <c r="C8" s="58"/>
      <c r="D8" s="36"/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24337-188B-487C-8A7A-33C9FE8519E2}">
  <sheetPr codeName="Tabelle30"/>
  <dimension ref="A1:D8"/>
  <sheetViews>
    <sheetView workbookViewId="0">
      <selection activeCell="B16" sqref="B16"/>
    </sheetView>
  </sheetViews>
  <sheetFormatPr baseColWidth="10" defaultRowHeight="13.8" x14ac:dyDescent="0.25"/>
  <cols>
    <col min="1" max="1" width="18.69921875" bestFit="1" customWidth="1"/>
    <col min="2" max="2" width="10.5" bestFit="1" customWidth="1"/>
    <col min="3" max="3" width="16" bestFit="1" customWidth="1"/>
  </cols>
  <sheetData>
    <row r="1" spans="1:4" x14ac:dyDescent="0.25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5">
      <c r="A2" t="s">
        <v>125</v>
      </c>
      <c r="B2" s="52">
        <v>45954</v>
      </c>
      <c r="C2" s="58"/>
      <c r="D2" s="36">
        <v>0.02</v>
      </c>
    </row>
    <row r="3" spans="1:4" x14ac:dyDescent="0.25">
      <c r="A3" t="s">
        <v>126</v>
      </c>
      <c r="B3" s="52">
        <v>45961</v>
      </c>
      <c r="C3" s="58"/>
      <c r="D3" s="36">
        <v>0.02</v>
      </c>
    </row>
    <row r="4" spans="1:4" x14ac:dyDescent="0.25">
      <c r="A4" t="s">
        <v>127</v>
      </c>
      <c r="B4" s="52">
        <v>45968</v>
      </c>
      <c r="C4" s="58"/>
      <c r="D4" s="36">
        <v>0.02</v>
      </c>
    </row>
    <row r="5" spans="1:4" x14ac:dyDescent="0.25">
      <c r="A5" t="s">
        <v>128</v>
      </c>
      <c r="B5" s="52">
        <v>45975</v>
      </c>
      <c r="C5" s="58"/>
      <c r="D5" s="36">
        <v>0.02</v>
      </c>
    </row>
    <row r="6" spans="1:4" x14ac:dyDescent="0.25">
      <c r="A6" t="s">
        <v>129</v>
      </c>
      <c r="B6" s="52">
        <v>45982</v>
      </c>
      <c r="C6" s="58"/>
      <c r="D6" s="36">
        <v>0.02</v>
      </c>
    </row>
    <row r="7" spans="1:4" x14ac:dyDescent="0.25">
      <c r="A7" t="s">
        <v>130</v>
      </c>
      <c r="B7" s="52">
        <v>45989</v>
      </c>
      <c r="C7" s="58"/>
      <c r="D7" s="36">
        <v>0.02</v>
      </c>
    </row>
    <row r="8" spans="1:4" x14ac:dyDescent="0.25">
      <c r="A8" t="s">
        <v>131</v>
      </c>
      <c r="B8" s="52">
        <v>45994</v>
      </c>
      <c r="C8" s="58"/>
      <c r="D8" s="36">
        <v>0.02</v>
      </c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0912A-21D5-4A35-A077-CED2A33599E2}">
  <sheetPr codeName="Tabelle31"/>
  <dimension ref="A1:D8"/>
  <sheetViews>
    <sheetView workbookViewId="0">
      <selection activeCell="C10" sqref="C10"/>
    </sheetView>
  </sheetViews>
  <sheetFormatPr baseColWidth="10" defaultRowHeight="13.8" x14ac:dyDescent="0.25"/>
  <cols>
    <col min="1" max="1" width="18.69921875" bestFit="1" customWidth="1"/>
    <col min="2" max="2" width="10.5" bestFit="1" customWidth="1"/>
    <col min="3" max="3" width="16" bestFit="1" customWidth="1"/>
  </cols>
  <sheetData>
    <row r="1" spans="1:4" x14ac:dyDescent="0.25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5">
      <c r="A2" t="s">
        <v>126</v>
      </c>
      <c r="B2" s="52">
        <v>45961</v>
      </c>
      <c r="C2" s="58"/>
      <c r="D2" s="36">
        <v>0.02</v>
      </c>
    </row>
    <row r="3" spans="1:4" x14ac:dyDescent="0.25">
      <c r="A3" t="s">
        <v>127</v>
      </c>
      <c r="B3" s="52">
        <v>45968</v>
      </c>
      <c r="C3" s="58"/>
      <c r="D3" s="36">
        <v>0.02</v>
      </c>
    </row>
    <row r="4" spans="1:4" x14ac:dyDescent="0.25">
      <c r="A4" t="s">
        <v>128</v>
      </c>
      <c r="B4" s="52">
        <v>45975</v>
      </c>
      <c r="C4" s="58"/>
      <c r="D4" s="36">
        <v>0.02</v>
      </c>
    </row>
    <row r="5" spans="1:4" x14ac:dyDescent="0.25">
      <c r="A5" t="s">
        <v>129</v>
      </c>
      <c r="B5" s="52">
        <v>45982</v>
      </c>
      <c r="C5" s="58"/>
      <c r="D5" s="36">
        <v>0.02</v>
      </c>
    </row>
    <row r="6" spans="1:4" x14ac:dyDescent="0.25">
      <c r="A6" t="s">
        <v>130</v>
      </c>
      <c r="B6" s="52">
        <v>45989</v>
      </c>
      <c r="C6" s="58"/>
      <c r="D6" s="36">
        <v>0.02</v>
      </c>
    </row>
    <row r="7" spans="1:4" x14ac:dyDescent="0.25">
      <c r="A7" t="s">
        <v>131</v>
      </c>
      <c r="B7" s="52">
        <v>45996</v>
      </c>
      <c r="C7" s="58"/>
      <c r="D7" s="36">
        <v>0.02</v>
      </c>
    </row>
    <row r="8" spans="1:4" x14ac:dyDescent="0.25">
      <c r="B8" s="52"/>
      <c r="C8" s="58"/>
      <c r="D8" s="36"/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0036D-F082-4A40-883A-9B4E8EB9DB93}">
  <sheetPr codeName="Tabelle32"/>
  <dimension ref="A1:D8"/>
  <sheetViews>
    <sheetView workbookViewId="0">
      <selection activeCell="A11" sqref="A11"/>
    </sheetView>
  </sheetViews>
  <sheetFormatPr baseColWidth="10" defaultRowHeight="13.8" x14ac:dyDescent="0.25"/>
  <cols>
    <col min="1" max="1" width="18.69921875" bestFit="1" customWidth="1"/>
    <col min="2" max="2" width="10.5" bestFit="1" customWidth="1"/>
    <col min="3" max="3" width="16" bestFit="1" customWidth="1"/>
  </cols>
  <sheetData>
    <row r="1" spans="1:4" x14ac:dyDescent="0.25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5">
      <c r="A2" t="s">
        <v>127</v>
      </c>
      <c r="B2" s="52">
        <v>45968</v>
      </c>
      <c r="C2" s="58"/>
      <c r="D2" s="36">
        <v>0.02</v>
      </c>
    </row>
    <row r="3" spans="1:4" x14ac:dyDescent="0.25">
      <c r="A3" t="s">
        <v>128</v>
      </c>
      <c r="B3" s="52">
        <v>45975</v>
      </c>
      <c r="C3" s="58"/>
      <c r="D3" s="36">
        <v>0.02</v>
      </c>
    </row>
    <row r="4" spans="1:4" x14ac:dyDescent="0.25">
      <c r="A4" t="s">
        <v>129</v>
      </c>
      <c r="B4" s="52">
        <v>45982</v>
      </c>
      <c r="C4" s="58"/>
      <c r="D4" s="36">
        <v>0.02</v>
      </c>
    </row>
    <row r="5" spans="1:4" x14ac:dyDescent="0.25">
      <c r="A5" t="s">
        <v>130</v>
      </c>
      <c r="B5" s="52">
        <v>45989</v>
      </c>
      <c r="C5" s="58"/>
      <c r="D5" s="36">
        <v>0.02</v>
      </c>
    </row>
    <row r="6" spans="1:4" x14ac:dyDescent="0.25">
      <c r="A6" t="s">
        <v>131</v>
      </c>
      <c r="B6" s="52">
        <v>45996</v>
      </c>
      <c r="C6" s="58"/>
      <c r="D6" s="36">
        <v>0.02</v>
      </c>
    </row>
    <row r="7" spans="1:4" x14ac:dyDescent="0.25">
      <c r="A7" t="s">
        <v>132</v>
      </c>
      <c r="B7" s="52">
        <v>46003</v>
      </c>
      <c r="C7" s="58"/>
      <c r="D7" s="36">
        <v>0.02</v>
      </c>
    </row>
    <row r="8" spans="1:4" x14ac:dyDescent="0.25">
      <c r="A8" t="s">
        <v>133</v>
      </c>
      <c r="B8" s="52">
        <v>46009</v>
      </c>
      <c r="C8" s="58"/>
      <c r="D8" s="36">
        <v>0.02</v>
      </c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37290-A999-42BE-B1DF-993B1B1DD8B9}">
  <sheetPr codeName="Tabelle33"/>
  <dimension ref="A1:D11"/>
  <sheetViews>
    <sheetView workbookViewId="0">
      <selection activeCell="C23" sqref="C23"/>
    </sheetView>
  </sheetViews>
  <sheetFormatPr baseColWidth="10" defaultRowHeight="13.8" x14ac:dyDescent="0.25"/>
  <cols>
    <col min="1" max="1" width="18.69921875" bestFit="1" customWidth="1"/>
    <col min="2" max="2" width="10.5" bestFit="1" customWidth="1"/>
    <col min="3" max="3" width="16" bestFit="1" customWidth="1"/>
  </cols>
  <sheetData>
    <row r="1" spans="1:4" x14ac:dyDescent="0.25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5">
      <c r="A2" t="s">
        <v>126</v>
      </c>
      <c r="B2" s="52">
        <v>45961</v>
      </c>
      <c r="C2" s="58"/>
      <c r="D2" s="36">
        <v>0.02</v>
      </c>
    </row>
    <row r="3" spans="1:4" x14ac:dyDescent="0.25">
      <c r="A3" t="s">
        <v>127</v>
      </c>
      <c r="B3" s="52">
        <v>45968</v>
      </c>
      <c r="C3" s="58"/>
      <c r="D3" s="36">
        <v>0.02</v>
      </c>
    </row>
    <row r="4" spans="1:4" x14ac:dyDescent="0.25">
      <c r="A4" t="s">
        <v>128</v>
      </c>
      <c r="B4" s="52">
        <v>45975</v>
      </c>
      <c r="C4" s="58"/>
      <c r="D4" s="36">
        <v>0.02</v>
      </c>
    </row>
    <row r="5" spans="1:4" x14ac:dyDescent="0.25">
      <c r="A5" t="s">
        <v>129</v>
      </c>
      <c r="B5" s="52">
        <v>45982</v>
      </c>
      <c r="C5" s="58"/>
      <c r="D5" s="36">
        <v>0.02</v>
      </c>
    </row>
    <row r="6" spans="1:4" x14ac:dyDescent="0.25">
      <c r="A6" t="s">
        <v>130</v>
      </c>
      <c r="B6" s="52">
        <v>45989</v>
      </c>
      <c r="C6" s="58"/>
      <c r="D6" s="36">
        <v>0.02</v>
      </c>
    </row>
    <row r="7" spans="1:4" x14ac:dyDescent="0.25">
      <c r="A7" t="s">
        <v>131</v>
      </c>
      <c r="B7" s="52">
        <v>45996</v>
      </c>
      <c r="C7" s="58"/>
      <c r="D7" s="36">
        <v>0.02</v>
      </c>
    </row>
    <row r="8" spans="1:4" x14ac:dyDescent="0.25">
      <c r="A8" t="s">
        <v>132</v>
      </c>
      <c r="B8" s="52">
        <v>46003</v>
      </c>
      <c r="C8" s="58"/>
      <c r="D8" s="36">
        <v>0.02</v>
      </c>
    </row>
    <row r="9" spans="1:4" x14ac:dyDescent="0.25">
      <c r="A9" t="s">
        <v>133</v>
      </c>
      <c r="B9" s="52">
        <v>46010</v>
      </c>
      <c r="C9" s="58"/>
      <c r="D9" s="36">
        <v>0.02</v>
      </c>
    </row>
    <row r="10" spans="1:4" x14ac:dyDescent="0.25">
      <c r="A10" t="s">
        <v>140</v>
      </c>
      <c r="B10" s="52">
        <v>46017</v>
      </c>
      <c r="C10" s="58"/>
      <c r="D10" s="36">
        <v>0.02</v>
      </c>
    </row>
    <row r="11" spans="1:4" x14ac:dyDescent="0.25">
      <c r="A11" t="s">
        <v>141</v>
      </c>
      <c r="B11" s="52">
        <v>46021</v>
      </c>
      <c r="C11" s="58"/>
      <c r="D11" s="36">
        <v>0.02</v>
      </c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305FB-74FD-4C04-BD90-DCF9630913C1}">
  <sheetPr codeName="Tabelle34"/>
  <dimension ref="A1:D7"/>
  <sheetViews>
    <sheetView workbookViewId="0">
      <selection activeCell="C13" sqref="C13"/>
    </sheetView>
  </sheetViews>
  <sheetFormatPr baseColWidth="10" defaultRowHeight="13.8" x14ac:dyDescent="0.25"/>
  <cols>
    <col min="1" max="1" width="18.69921875" bestFit="1" customWidth="1"/>
    <col min="2" max="2" width="10.5" bestFit="1" customWidth="1"/>
    <col min="3" max="3" width="16" bestFit="1" customWidth="1"/>
  </cols>
  <sheetData>
    <row r="1" spans="1:4" x14ac:dyDescent="0.25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5">
      <c r="A2" t="s">
        <v>130</v>
      </c>
      <c r="B2" s="52">
        <v>45989</v>
      </c>
      <c r="C2" s="58"/>
      <c r="D2" s="36">
        <v>0.02</v>
      </c>
    </row>
    <row r="3" spans="1:4" x14ac:dyDescent="0.25">
      <c r="A3" t="s">
        <v>131</v>
      </c>
      <c r="B3" s="52">
        <v>45996</v>
      </c>
      <c r="C3" s="58"/>
      <c r="D3" s="36">
        <v>0.02</v>
      </c>
    </row>
    <row r="4" spans="1:4" x14ac:dyDescent="0.25">
      <c r="A4" t="s">
        <v>132</v>
      </c>
      <c r="B4" s="52">
        <v>46003</v>
      </c>
      <c r="C4" s="58"/>
      <c r="D4" s="36">
        <v>0.02</v>
      </c>
    </row>
    <row r="5" spans="1:4" x14ac:dyDescent="0.25">
      <c r="A5" t="s">
        <v>133</v>
      </c>
      <c r="B5" s="52">
        <v>46010</v>
      </c>
      <c r="C5" s="58"/>
      <c r="D5" s="36">
        <v>0.02</v>
      </c>
    </row>
    <row r="6" spans="1:4" x14ac:dyDescent="0.25">
      <c r="A6" t="s">
        <v>140</v>
      </c>
      <c r="B6" s="52">
        <v>46017</v>
      </c>
      <c r="C6" s="58"/>
      <c r="D6" s="36">
        <v>0.02</v>
      </c>
    </row>
    <row r="7" spans="1:4" x14ac:dyDescent="0.25">
      <c r="A7" t="s">
        <v>141</v>
      </c>
      <c r="B7" s="52">
        <v>46021</v>
      </c>
      <c r="C7" s="58"/>
      <c r="D7" s="36">
        <v>0.02</v>
      </c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69AE0-1DDA-4B46-82B2-97CF2DEF24BB}">
  <sheetPr codeName="Tabelle35"/>
  <dimension ref="A1:D7"/>
  <sheetViews>
    <sheetView workbookViewId="0">
      <selection activeCell="C17" sqref="C17"/>
    </sheetView>
  </sheetViews>
  <sheetFormatPr baseColWidth="10" defaultRowHeight="13.8" x14ac:dyDescent="0.25"/>
  <cols>
    <col min="1" max="1" width="18.69921875" bestFit="1" customWidth="1"/>
    <col min="2" max="2" width="10.5" bestFit="1" customWidth="1"/>
    <col min="3" max="3" width="16" bestFit="1" customWidth="1"/>
  </cols>
  <sheetData>
    <row r="1" spans="1:4" x14ac:dyDescent="0.25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5">
      <c r="B2" s="52"/>
      <c r="C2" s="58"/>
      <c r="D2" s="36">
        <v>0.02</v>
      </c>
    </row>
    <row r="3" spans="1:4" x14ac:dyDescent="0.25">
      <c r="B3" s="52"/>
      <c r="C3" s="58"/>
      <c r="D3" s="36">
        <v>0.02</v>
      </c>
    </row>
    <row r="4" spans="1:4" x14ac:dyDescent="0.25">
      <c r="B4" s="52"/>
      <c r="C4" s="58"/>
      <c r="D4" s="36">
        <v>0.02</v>
      </c>
    </row>
    <row r="5" spans="1:4" x14ac:dyDescent="0.25">
      <c r="B5" s="52"/>
      <c r="C5" s="58"/>
      <c r="D5" s="36">
        <v>0.02</v>
      </c>
    </row>
    <row r="6" spans="1:4" x14ac:dyDescent="0.25">
      <c r="B6" s="52"/>
      <c r="C6" s="58"/>
      <c r="D6" s="36">
        <v>0.02</v>
      </c>
    </row>
    <row r="7" spans="1:4" x14ac:dyDescent="0.25">
      <c r="B7" s="52"/>
      <c r="C7" s="58"/>
      <c r="D7" s="36">
        <v>0.02</v>
      </c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A57B7-D7D7-4D08-A92D-AF4AC805126B}">
  <sheetPr codeName="Tabelle36"/>
  <dimension ref="A1:D7"/>
  <sheetViews>
    <sheetView workbookViewId="0">
      <selection activeCell="C9" sqref="C9"/>
    </sheetView>
  </sheetViews>
  <sheetFormatPr baseColWidth="10" defaultRowHeight="13.8" x14ac:dyDescent="0.25"/>
  <cols>
    <col min="1" max="1" width="18.69921875" bestFit="1" customWidth="1"/>
    <col min="2" max="2" width="10.5" bestFit="1" customWidth="1"/>
    <col min="3" max="3" width="16" bestFit="1" customWidth="1"/>
  </cols>
  <sheetData>
    <row r="1" spans="1:4" x14ac:dyDescent="0.25">
      <c r="A1" s="53" t="s">
        <v>83</v>
      </c>
      <c r="B1" s="53" t="s">
        <v>84</v>
      </c>
      <c r="C1" s="53" t="s">
        <v>78</v>
      </c>
      <c r="D1" s="53" t="s">
        <v>41</v>
      </c>
    </row>
    <row r="2" spans="1:4" x14ac:dyDescent="0.25">
      <c r="B2" s="52"/>
      <c r="C2" s="58"/>
      <c r="D2" s="36">
        <v>0.02</v>
      </c>
    </row>
    <row r="3" spans="1:4" x14ac:dyDescent="0.25">
      <c r="B3" s="52"/>
      <c r="C3" s="58"/>
      <c r="D3" s="36">
        <v>0.02</v>
      </c>
    </row>
    <row r="4" spans="1:4" x14ac:dyDescent="0.25">
      <c r="B4" s="52"/>
      <c r="C4" s="58"/>
      <c r="D4" s="36">
        <v>0.02</v>
      </c>
    </row>
    <row r="5" spans="1:4" x14ac:dyDescent="0.25">
      <c r="B5" s="52"/>
      <c r="C5" s="58"/>
      <c r="D5" s="36">
        <v>0.02</v>
      </c>
    </row>
    <row r="6" spans="1:4" x14ac:dyDescent="0.25">
      <c r="B6" s="52"/>
      <c r="C6" s="58"/>
      <c r="D6" s="36">
        <v>0.02</v>
      </c>
    </row>
    <row r="7" spans="1:4" x14ac:dyDescent="0.25">
      <c r="B7" s="52"/>
      <c r="C7" s="58"/>
      <c r="D7" s="36">
        <v>0.02</v>
      </c>
    </row>
  </sheetData>
  <protectedRanges>
    <protectedRange sqref="C2:C7" name="Schätzquote"/>
  </protectedRanges>
  <phoneticPr fontId="10" type="noConversion"/>
  <pageMargins left="0.7" right="0.7" top="0.78740157499999996" bottom="0.78740157499999996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37</vt:i4>
      </vt:variant>
    </vt:vector>
  </HeadingPairs>
  <TitlesOfParts>
    <vt:vector size="37" baseType="lpstr">
      <vt:lpstr>Dashboard</vt:lpstr>
      <vt:lpstr>Gesamtübersicht</vt:lpstr>
      <vt:lpstr>Durchschnittsschätzquote</vt:lpstr>
      <vt:lpstr>aktuelle Schätzquote</vt:lpstr>
      <vt:lpstr>finale Schätzquote</vt:lpstr>
      <vt:lpstr>Ablesewerte je Portion</vt:lpstr>
      <vt:lpstr>Vergleich Vorjahr</vt:lpstr>
      <vt:lpstr>P01A</vt:lpstr>
      <vt:lpstr>P01B</vt:lpstr>
      <vt:lpstr>P01C</vt:lpstr>
      <vt:lpstr>P02A</vt:lpstr>
      <vt:lpstr>P02B</vt:lpstr>
      <vt:lpstr>P02C</vt:lpstr>
      <vt:lpstr>P03A</vt:lpstr>
      <vt:lpstr>P03B</vt:lpstr>
      <vt:lpstr>P03C</vt:lpstr>
      <vt:lpstr>P04A</vt:lpstr>
      <vt:lpstr>P04B</vt:lpstr>
      <vt:lpstr>P04C</vt:lpstr>
      <vt:lpstr>P05B</vt:lpstr>
      <vt:lpstr>P05C</vt:lpstr>
      <vt:lpstr>P06A</vt:lpstr>
      <vt:lpstr>P07C</vt:lpstr>
      <vt:lpstr>P08A</vt:lpstr>
      <vt:lpstr>P08B</vt:lpstr>
      <vt:lpstr>P09A</vt:lpstr>
      <vt:lpstr>P09B</vt:lpstr>
      <vt:lpstr>P10A</vt:lpstr>
      <vt:lpstr>P10B</vt:lpstr>
      <vt:lpstr>P10C</vt:lpstr>
      <vt:lpstr>P11A</vt:lpstr>
      <vt:lpstr>P11B</vt:lpstr>
      <vt:lpstr>P11C</vt:lpstr>
      <vt:lpstr>P12A</vt:lpstr>
      <vt:lpstr>P12C</vt:lpstr>
      <vt:lpstr>P12E</vt:lpstr>
      <vt:lpstr>P12EEG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Haverkamp, Andre</dc:creator>
  <cp:lastModifiedBy>Denker, Stephan</cp:lastModifiedBy>
  <cp:lastPrinted>2024-04-04T04:38:46Z</cp:lastPrinted>
  <dcterms:created xsi:type="dcterms:W3CDTF">2023-11-29T06:29:59Z</dcterms:created>
  <dcterms:modified xsi:type="dcterms:W3CDTF">2025-08-15T08:15:50Z</dcterms:modified>
</cp:coreProperties>
</file>